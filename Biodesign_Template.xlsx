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coes" sheetId="1" state="visible" r:id="rId1"/>
    <sheet xmlns:r="http://schemas.openxmlformats.org/officeDocument/2006/relationships" name="Needs Stage 0" sheetId="2" state="visible" r:id="rId2"/>
  </sheets>
  <definedNames>
    <definedName name="_xlnm._FilterDatabase" localSheetId="0" hidden="1">'Observacoes'!$A$1:$D$95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JetBrains Mono"/>
      <color rgb="006366F1"/>
      <sz val="9"/>
    </font>
    <font>
      <name val="Inter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80" customWidth="1" min="4" max="4"/>
  </cols>
  <sheetData>
    <row r="1" ht="30" customHeight="1">
      <c r="A1" s="1" t="inlineStr">
        <is>
          <t>id_mae</t>
        </is>
      </c>
      <c r="B1" s="2" t="inlineStr">
        <is>
          <t>Potencial (0-3)</t>
        </is>
      </c>
      <c r="C1" s="2" t="inlineStr">
        <is>
          <t>Type</t>
        </is>
      </c>
      <c r="D1" s="2" t="inlineStr">
        <is>
          <t>Observations</t>
        </is>
      </c>
    </row>
    <row r="2">
      <c r="A2" s="3" t="inlineStr">
        <is>
          <t>OBS-001</t>
        </is>
      </c>
      <c r="B2" s="4" t="n">
        <v>0</v>
      </c>
      <c r="C2" s="4" t="inlineStr">
        <is>
          <t>Infraestrutura</t>
        </is>
      </c>
      <c r="D2" s="4" t="inlineStr">
        <is>
          <t>Falta de computadores/tablets para todos os funcionarios</t>
        </is>
      </c>
    </row>
    <row r="3">
      <c r="A3" s="5" t="inlineStr">
        <is>
          <t>OBS-002</t>
        </is>
      </c>
      <c r="B3" s="6" t="n">
        <v>0</v>
      </c>
      <c r="C3" s="6" t="inlineStr">
        <is>
          <t>Infraestrutura</t>
        </is>
      </c>
      <c r="D3" s="6" t="inlineStr">
        <is>
          <t>Dificuldade de comunicacao com profissionais da ala oeste</t>
        </is>
      </c>
    </row>
    <row r="4">
      <c r="A4" s="3" t="inlineStr">
        <is>
          <t>OBS-003</t>
        </is>
      </c>
      <c r="B4" s="4" t="n">
        <v>0</v>
      </c>
      <c r="C4" s="4" t="inlineStr">
        <is>
          <t>Infraestrutura</t>
        </is>
      </c>
      <c r="D4" s="4" t="inlineStr">
        <is>
          <t>Falta de pivo na ala oeste</t>
        </is>
      </c>
    </row>
    <row r="5">
      <c r="A5" s="5" t="inlineStr">
        <is>
          <t>OBS-004</t>
        </is>
      </c>
      <c r="B5" s="6" t="n">
        <v>0</v>
      </c>
      <c r="C5" s="6" t="inlineStr">
        <is>
          <t>Infraestrutura</t>
        </is>
      </c>
      <c r="D5" s="6" t="inlineStr">
        <is>
          <t>Excesso de demandas que desfocam o profissional do pivo (excesso de telefonemas)</t>
        </is>
      </c>
    </row>
    <row r="6">
      <c r="A6" s="3" t="inlineStr">
        <is>
          <t>OBS-005</t>
        </is>
      </c>
      <c r="B6" s="4" t="n">
        <v>0</v>
      </c>
      <c r="C6" s="4" t="inlineStr">
        <is>
          <t>Infraestrutura</t>
        </is>
      </c>
      <c r="D6" s="4" t="inlineStr">
        <is>
          <t>Ramais insuficientes</t>
        </is>
      </c>
    </row>
    <row r="7">
      <c r="A7" s="5" t="inlineStr">
        <is>
          <t>OBS-006</t>
        </is>
      </c>
      <c r="B7" s="6" t="n">
        <v>0</v>
      </c>
      <c r="C7" s="6" t="inlineStr">
        <is>
          <t>Infraestrutura</t>
        </is>
      </c>
      <c r="D7" s="6" t="inlineStr">
        <is>
          <t>Sistema de transporte vacuo inativo</t>
        </is>
      </c>
    </row>
    <row r="8">
      <c r="A8" s="3" t="inlineStr">
        <is>
          <t>OBS-007</t>
        </is>
      </c>
      <c r="B8" s="4" t="n">
        <v>0</v>
      </c>
      <c r="C8" s="4" t="inlineStr">
        <is>
          <t>CERNER</t>
        </is>
      </c>
      <c r="D8" s="4" t="inlineStr">
        <is>
          <t>SIsitema para checagem de medicacoes juntas em mesma via pelo Cerner</t>
        </is>
      </c>
    </row>
    <row r="9">
      <c r="A9" s="5" t="inlineStr">
        <is>
          <t>OBS-008</t>
        </is>
      </c>
      <c r="B9" s="6" t="n">
        <v>0</v>
      </c>
      <c r="C9" s="6" t="inlineStr">
        <is>
          <t>Infraestrutura</t>
        </is>
      </c>
      <c r="D9" s="6" t="inlineStr">
        <is>
          <t>Bloqueio da vista natural dos quartos por aparelho de de pressao negativa</t>
        </is>
      </c>
    </row>
    <row r="10">
      <c r="A10" s="3" t="inlineStr">
        <is>
          <t>OBS-009</t>
        </is>
      </c>
      <c r="B10" s="4" t="n">
        <v>0</v>
      </c>
      <c r="C10" s="4" t="inlineStr">
        <is>
          <t>Infraestrutura</t>
        </is>
      </c>
      <c r="D10" s="4" t="inlineStr">
        <is>
          <t>PIXYS: Problemas de filas em momentos-chave do dia, problemas de reposicao, disponibilidade de material e medicamentos.</t>
        </is>
      </c>
    </row>
    <row r="11">
      <c r="A11" s="5" t="inlineStr">
        <is>
          <t>OBS-010</t>
        </is>
      </c>
      <c r="B11" s="6" t="n">
        <v>0</v>
      </c>
      <c r="C11" s="6" t="inlineStr">
        <is>
          <t>Infraestrutura</t>
        </is>
      </c>
      <c r="D11" s="6" t="inlineStr">
        <is>
          <t>Solicitacao de medicacao para farmacia central por papel escaneado</t>
        </is>
      </c>
    </row>
    <row r="12">
      <c r="A12" s="3" t="inlineStr">
        <is>
          <t>OBS-011</t>
        </is>
      </c>
      <c r="B12" s="4" t="n">
        <v>0</v>
      </c>
      <c r="C12" s="4" t="inlineStr">
        <is>
          <t>Infraestrutura</t>
        </is>
      </c>
      <c r="D12" s="4" t="inlineStr">
        <is>
          <t>Corredor congestionado por equipamentos</t>
        </is>
      </c>
    </row>
    <row r="13">
      <c r="A13" s="5" t="inlineStr">
        <is>
          <t>OBS-012</t>
        </is>
      </c>
      <c r="B13" s="6" t="n">
        <v>0</v>
      </c>
      <c r="C13" s="6" t="inlineStr">
        <is>
          <t>Infraestrutura</t>
        </is>
      </c>
      <c r="D13" s="6" t="inlineStr">
        <is>
          <t>Lentidao na saida de exames por falta de priorizacao e regulacao</t>
        </is>
      </c>
    </row>
    <row r="14">
      <c r="A14" s="3" t="inlineStr">
        <is>
          <t>OBS-013</t>
        </is>
      </c>
      <c r="B14" s="4" t="n">
        <v>0</v>
      </c>
      <c r="C14" s="4" t="inlineStr">
        <is>
          <t>Infraestrutura</t>
        </is>
      </c>
      <c r="D14" s="4" t="inlineStr">
        <is>
          <t>Equipe de transporte reduzida</t>
        </is>
      </c>
    </row>
    <row r="15">
      <c r="A15" s="5" t="inlineStr">
        <is>
          <t>OBS-014</t>
        </is>
      </c>
      <c r="B15" s="6" t="n">
        <v>0</v>
      </c>
      <c r="C15" s="6" t="inlineStr"/>
      <c r="D15" s="6" t="inlineStr">
        <is>
          <t>Acionamentos indevidos por parte dos familiares em comunicacao interna do quarto</t>
        </is>
      </c>
    </row>
    <row r="16">
      <c r="A16" s="3" t="inlineStr">
        <is>
          <t>OBS-015</t>
        </is>
      </c>
      <c r="B16" s="4" t="n">
        <v>0</v>
      </c>
      <c r="C16" s="4" t="inlineStr"/>
      <c r="D16" s="4" t="inlineStr">
        <is>
          <t>Alta demanda da profissional do pivo (dupla checagem antes de acionar algum profissional)</t>
        </is>
      </c>
    </row>
    <row r="17">
      <c r="A17" s="5" t="inlineStr">
        <is>
          <t>OBS-016</t>
        </is>
      </c>
      <c r="B17" s="6" t="n">
        <v>0</v>
      </c>
      <c r="C17" s="6" t="inlineStr">
        <is>
          <t>Infraestrutura</t>
        </is>
      </c>
      <c r="D17" s="6" t="inlineStr">
        <is>
          <t>Setores pediatricos em diferentes andares aumentando tempo de deslocamento</t>
        </is>
      </c>
    </row>
    <row r="18">
      <c r="A18" s="3" t="inlineStr">
        <is>
          <t>OBS-017</t>
        </is>
      </c>
      <c r="B18" s="4" t="n">
        <v>0</v>
      </c>
      <c r="C18" s="4" t="inlineStr">
        <is>
          <t>Infraestrutura</t>
        </is>
      </c>
      <c r="D18" s="4" t="inlineStr">
        <is>
          <t>Quando um paciente novo chega a UTI, nao ha um aviso programado. A equipe fica sabendo verbalmente</t>
        </is>
      </c>
    </row>
    <row r="19">
      <c r="A19" s="5" t="inlineStr">
        <is>
          <t>OBS-018</t>
        </is>
      </c>
      <c r="B19" s="6" t="n">
        <v>0</v>
      </c>
      <c r="C19" s="6" t="inlineStr">
        <is>
          <t>Infraestrutura</t>
        </is>
      </c>
      <c r="D19" s="6" t="inlineStr">
        <is>
          <t>O pediatra fala sobre o caso com o anestesista verbalmente</t>
        </is>
      </c>
    </row>
    <row r="20">
      <c r="A20" s="3" t="inlineStr">
        <is>
          <t>OBS-019</t>
        </is>
      </c>
      <c r="B20" s="4" t="n">
        <v>0</v>
      </c>
      <c r="C20" s="4" t="inlineStr"/>
      <c r="D20" s="4" t="inlineStr">
        <is>
          <t>Reclamacao do tempo acionar o botao-alguem aparecer por parte dos familiares</t>
        </is>
      </c>
    </row>
    <row r="21">
      <c r="A21" s="5" t="inlineStr">
        <is>
          <t>OBS-020</t>
        </is>
      </c>
      <c r="B21" s="6" t="n">
        <v>0</v>
      </c>
      <c r="C21" s="6" t="inlineStr">
        <is>
          <t>Infraestrutura</t>
        </is>
      </c>
      <c r="D21" s="6" t="inlineStr">
        <is>
          <t>Flexibilidade nos horarios de visitas e no numero de pessoas no quarto</t>
        </is>
      </c>
    </row>
    <row r="22">
      <c r="A22" s="3" t="inlineStr">
        <is>
          <t>OBS-021</t>
        </is>
      </c>
      <c r="B22" s="4" t="n">
        <v>0</v>
      </c>
      <c r="C22" s="4" t="inlineStr">
        <is>
          <t>CERNER</t>
        </is>
      </c>
      <c r="D22" s="4" t="inlineStr">
        <is>
          <t>Duplicacao de prescricoes sem algum sistema de aviso</t>
        </is>
      </c>
    </row>
    <row r="23">
      <c r="A23" s="5" t="inlineStr">
        <is>
          <t>OBS-022</t>
        </is>
      </c>
      <c r="B23" s="6" t="n">
        <v>0</v>
      </c>
      <c r="C23" s="6" t="inlineStr"/>
      <c r="D23" s="6" t="inlineStr">
        <is>
          <t>Passagem ineficaz de plantao</t>
        </is>
      </c>
    </row>
    <row r="24">
      <c r="A24" s="3" t="inlineStr">
        <is>
          <t>OBS-023</t>
        </is>
      </c>
      <c r="B24" s="4" t="n">
        <v>0</v>
      </c>
      <c r="C24" s="4" t="inlineStr">
        <is>
          <t>Infraestrutura</t>
        </is>
      </c>
      <c r="D24" s="4" t="inlineStr">
        <is>
          <t>Nao comunicacao entre parametros ventilatorios e sistema de prontuario</t>
        </is>
      </c>
    </row>
    <row r="25">
      <c r="A25" s="5" t="inlineStr">
        <is>
          <t>OBS-024</t>
        </is>
      </c>
      <c r="B25" s="6" t="n">
        <v>0</v>
      </c>
      <c r="C25" s="6" t="inlineStr">
        <is>
          <t>Dispositivos</t>
        </is>
      </c>
      <c r="D25" s="6" t="inlineStr">
        <is>
          <t>Quantidade insuficiente de valvulas de O2 no leito</t>
        </is>
      </c>
    </row>
    <row r="26">
      <c r="A26" s="3" t="inlineStr">
        <is>
          <t>OBS-025</t>
        </is>
      </c>
      <c r="B26" s="4" t="n">
        <v>0</v>
      </c>
      <c r="C26" s="4" t="inlineStr"/>
      <c r="D26" s="4" t="inlineStr">
        <is>
          <t>Quando ha ECMO na sala nao cabe a famiilia + aparelhos</t>
        </is>
      </c>
    </row>
    <row r="27">
      <c r="A27" s="5" t="inlineStr">
        <is>
          <t>OBS-026</t>
        </is>
      </c>
      <c r="B27" s="6" t="n">
        <v>0</v>
      </c>
      <c r="C27" s="6" t="inlineStr"/>
      <c r="D27" s="6" t="inlineStr">
        <is>
          <t>Limpeza de quarto dificultada pela quantidade de coisas.</t>
        </is>
      </c>
    </row>
    <row r="28">
      <c r="A28" s="3" t="inlineStr">
        <is>
          <t>OBS-027</t>
        </is>
      </c>
      <c r="B28" s="4" t="n">
        <v>0</v>
      </c>
      <c r="C28" s="4" t="inlineStr"/>
      <c r="D28" s="4" t="inlineStr">
        <is>
          <t>Muito barulho de bombas e alarmes.</t>
        </is>
      </c>
    </row>
    <row r="29">
      <c r="A29" s="5" t="inlineStr">
        <is>
          <t>OBS-028</t>
        </is>
      </c>
      <c r="B29" s="6" t="n">
        <v>1</v>
      </c>
      <c r="C29" s="6" t="inlineStr">
        <is>
          <t>Equipamentos</t>
        </is>
      </c>
      <c r="D29" s="6" t="inlineStr">
        <is>
          <t>Perda de cabos/equipamentos e falta de rastreabilidade dos mesmos</t>
        </is>
      </c>
    </row>
    <row r="30">
      <c r="A30" s="3" t="inlineStr">
        <is>
          <t>OBS-029</t>
        </is>
      </c>
      <c r="B30" s="4" t="n">
        <v>1</v>
      </c>
      <c r="C30" s="4" t="inlineStr">
        <is>
          <t>CERNER</t>
        </is>
      </c>
      <c r="D30" s="4" t="inlineStr">
        <is>
          <t>Muito tempo gasto com registro em prontuario e burocracias</t>
        </is>
      </c>
    </row>
    <row r="31">
      <c r="A31" s="5" t="inlineStr">
        <is>
          <t>OBS-030</t>
        </is>
      </c>
      <c r="B31" s="6" t="n">
        <v>1</v>
      </c>
      <c r="C31" s="6" t="inlineStr">
        <is>
          <t>Dispositivos</t>
        </is>
      </c>
      <c r="D31" s="6" t="inlineStr">
        <is>
          <t>Equipo de dialise tipo aranha</t>
        </is>
      </c>
    </row>
    <row r="32">
      <c r="A32" s="3" t="inlineStr">
        <is>
          <t>OBS-031</t>
        </is>
      </c>
      <c r="B32" s="4" t="n">
        <v>1</v>
      </c>
      <c r="C32" s="4" t="inlineStr">
        <is>
          <t>Infraestrutura</t>
        </is>
      </c>
      <c r="D32" s="4" t="inlineStr">
        <is>
          <t>Falta de um sistema de avisos de altas e admissoes</t>
        </is>
      </c>
    </row>
    <row r="33">
      <c r="A33" s="5" t="inlineStr">
        <is>
          <t>OBS-032</t>
        </is>
      </c>
      <c r="B33" s="6" t="n">
        <v>1</v>
      </c>
      <c r="C33" s="6" t="inlineStr"/>
      <c r="D33" s="6" t="inlineStr">
        <is>
          <t>Painel analogico onde e registrado o nivel de complexidade dos pacientes por pontos e codigo de cores</t>
        </is>
      </c>
    </row>
    <row r="34">
      <c r="A34" s="3" t="inlineStr">
        <is>
          <t>OBS-033</t>
        </is>
      </c>
      <c r="B34" s="4" t="n">
        <v>1</v>
      </c>
      <c r="C34" s="4" t="inlineStr"/>
      <c r="D34" s="4" t="inlineStr">
        <is>
          <t>Psicologa pouco acionada, abaixo da demanda</t>
        </is>
      </c>
    </row>
    <row r="35">
      <c r="A35" s="5" t="inlineStr">
        <is>
          <t>OBS-034</t>
        </is>
      </c>
      <c r="B35" s="6" t="n">
        <v>1</v>
      </c>
      <c r="C35" s="6" t="inlineStr">
        <is>
          <t>Dispositivos</t>
        </is>
      </c>
      <c r="D35" s="6" t="inlineStr">
        <is>
          <t>A luva e perdida com bastante frequencia e nao funciona bem a partir de um ano e meio de idade nos nao intubados</t>
        </is>
      </c>
    </row>
    <row r="36">
      <c r="A36" s="3" t="inlineStr">
        <is>
          <t>OBS-035</t>
        </is>
      </c>
      <c r="B36" s="4" t="n">
        <v>1</v>
      </c>
      <c r="C36" s="4" t="inlineStr">
        <is>
          <t>Dispositivos</t>
        </is>
      </c>
      <c r="D36" s="4" t="inlineStr">
        <is>
          <t>Luz do laringoscopio falha com facilidade ( travamento com defeito - aciona a lampada atraves de pressao em botao que perde a conexao com o tempo). prejudica iot</t>
        </is>
      </c>
    </row>
    <row r="37">
      <c r="A37" s="5" t="inlineStr">
        <is>
          <t>OBS-036</t>
        </is>
      </c>
      <c r="B37" s="6" t="n">
        <v>1</v>
      </c>
      <c r="C37" s="6" t="inlineStr"/>
      <c r="D37" s="6" t="inlineStr">
        <is>
          <t>Bulario feito nao contem todas as medicacoes que usam.</t>
        </is>
      </c>
    </row>
    <row r="38">
      <c r="A38" s="3" t="inlineStr">
        <is>
          <t>OBS-037</t>
        </is>
      </c>
      <c r="B38" s="4" t="n">
        <v>1</v>
      </c>
      <c r="C38" s="4" t="inlineStr">
        <is>
          <t>Dispositivos</t>
        </is>
      </c>
      <c r="D38" s="4" t="inlineStr">
        <is>
          <t>Dificuldade na adaptacao do CNAF</t>
        </is>
      </c>
    </row>
    <row r="39">
      <c r="A39" s="5" t="inlineStr">
        <is>
          <t>OBS-038</t>
        </is>
      </c>
      <c r="B39" s="6" t="n">
        <v>1</v>
      </c>
      <c r="C39" s="6" t="inlineStr">
        <is>
          <t>Infraestrutura</t>
        </is>
      </c>
      <c r="D39" s="6" t="inlineStr">
        <is>
          <t>Uso de leitos destinados para adultos usados em criancas</t>
        </is>
      </c>
    </row>
    <row r="40">
      <c r="A40" s="3" t="inlineStr">
        <is>
          <t>OBS-039</t>
        </is>
      </c>
      <c r="B40" s="4" t="n">
        <v>1</v>
      </c>
      <c r="C40" s="4" t="inlineStr">
        <is>
          <t>Infraestrutura</t>
        </is>
      </c>
      <c r="D40" s="4" t="inlineStr">
        <is>
          <t>Excesso de tempo gasto nas comunicacoes entre profissionais para reforcar o que ja foi feito no sistema</t>
        </is>
      </c>
    </row>
    <row r="41">
      <c r="A41" s="5" t="inlineStr">
        <is>
          <t>OBS-040</t>
        </is>
      </c>
      <c r="B41" s="6" t="n">
        <v>2</v>
      </c>
      <c r="C41" s="6" t="inlineStr">
        <is>
          <t>Dispositivos</t>
        </is>
      </c>
      <c r="D41" s="6" t="inlineStr">
        <is>
          <t>Problemas com a sonda de Foley</t>
        </is>
      </c>
    </row>
    <row r="42">
      <c r="A42" s="3" t="inlineStr">
        <is>
          <t>OBS-041</t>
        </is>
      </c>
      <c r="B42" s="4" t="n">
        <v>2</v>
      </c>
      <c r="C42" s="4" t="inlineStr"/>
      <c r="D42" s="4" t="inlineStr">
        <is>
          <t>Altas taxas de PAV (especialmente SUS)</t>
        </is>
      </c>
    </row>
    <row r="43">
      <c r="A43" s="5" t="inlineStr">
        <is>
          <t>OBS-042</t>
        </is>
      </c>
      <c r="B43" s="6" t="n">
        <v>2</v>
      </c>
      <c r="C43" s="6" t="inlineStr">
        <is>
          <t>Dispositivos</t>
        </is>
      </c>
      <c r="D43" s="6" t="inlineStr">
        <is>
          <t>Dificuldade na adaptacao de mascara de inalacao</t>
        </is>
      </c>
    </row>
    <row r="44">
      <c r="A44" s="3" t="inlineStr">
        <is>
          <t>OBS-043</t>
        </is>
      </c>
      <c r="B44" s="4" t="n">
        <v>2</v>
      </c>
      <c r="C44" s="4" t="inlineStr">
        <is>
          <t>Dispositivos</t>
        </is>
      </c>
      <c r="D44" s="4" t="inlineStr">
        <is>
          <t>Reducao de mobilidade durante dialise</t>
        </is>
      </c>
    </row>
    <row r="45">
      <c r="A45" s="5" t="inlineStr">
        <is>
          <t>OBS-044</t>
        </is>
      </c>
      <c r="B45" s="6" t="n">
        <v>2</v>
      </c>
      <c r="C45" s="6" t="inlineStr">
        <is>
          <t>Procedimentos</t>
        </is>
      </c>
      <c r="D45" s="6" t="inlineStr">
        <is>
          <t>Banhos demandam muito tempo</t>
        </is>
      </c>
    </row>
    <row r="46">
      <c r="A46" s="3" t="inlineStr">
        <is>
          <t>OBS-045</t>
        </is>
      </c>
      <c r="B46" s="4" t="n">
        <v>2</v>
      </c>
      <c r="C46" s="4" t="inlineStr"/>
      <c r="D46" s="4" t="inlineStr">
        <is>
          <t>Eles tem um brinquedo terapeutico para ensinar ao paciente procedimentos, personalizado de acordo com os gostos do paciente</t>
        </is>
      </c>
    </row>
    <row r="47">
      <c r="A47" s="5" t="inlineStr">
        <is>
          <t>OBS-046</t>
        </is>
      </c>
      <c r="B47" s="6" t="n">
        <v>2</v>
      </c>
      <c r="C47" s="6" t="inlineStr">
        <is>
          <t>Dispositivos</t>
        </is>
      </c>
      <c r="D47" s="6" t="inlineStr">
        <is>
          <t>Parece que pode haver interacoes medicamentosas nao controladas</t>
        </is>
      </c>
    </row>
    <row r="48">
      <c r="A48" s="3" t="inlineStr">
        <is>
          <t>OBS-047</t>
        </is>
      </c>
      <c r="B48" s="4" t="n">
        <v>2</v>
      </c>
      <c r="C48" s="4" t="inlineStr"/>
      <c r="D48" s="4" t="inlineStr">
        <is>
          <t>Os quartos sao brancos, sensacao impessoal, falta de estimulos</t>
        </is>
      </c>
    </row>
    <row r="49">
      <c r="A49" s="5" t="inlineStr">
        <is>
          <t>OBS-048</t>
        </is>
      </c>
      <c r="B49" s="6" t="n">
        <v>2</v>
      </c>
      <c r="C49" s="6" t="inlineStr">
        <is>
          <t>Dispositivos</t>
        </is>
      </c>
      <c r="D49" s="6" t="inlineStr">
        <is>
          <t>Perda de sonda nasal</t>
        </is>
      </c>
    </row>
    <row r="50">
      <c r="A50" s="3" t="inlineStr">
        <is>
          <t>OBS-049</t>
        </is>
      </c>
      <c r="B50" s="4" t="n">
        <v>2</v>
      </c>
      <c r="C50" s="4" t="inlineStr">
        <is>
          <t>Dispositivos</t>
        </is>
      </c>
      <c r="D50" s="4" t="inlineStr">
        <is>
          <t>Problemas de lesao por pressao causada pelo oximetro.</t>
        </is>
      </c>
    </row>
    <row r="51">
      <c r="A51" s="5" t="inlineStr">
        <is>
          <t>OBS-050</t>
        </is>
      </c>
      <c r="B51" s="6" t="n">
        <v>2</v>
      </c>
      <c r="C51" s="6" t="inlineStr"/>
      <c r="D51" s="6" t="inlineStr">
        <is>
          <t>Dificuldade na comunicacao com familiares (escolaridade, vergonha, seguranca, alimentacao, expectativa, escolaridade)</t>
        </is>
      </c>
    </row>
    <row r="52">
      <c r="A52" s="3" t="inlineStr">
        <is>
          <t>OBS-051</t>
        </is>
      </c>
      <c r="B52" s="4" t="n">
        <v>2</v>
      </c>
      <c r="C52" s="4" t="inlineStr">
        <is>
          <t>Procedimentos</t>
        </is>
      </c>
      <c r="D52" s="4" t="inlineStr">
        <is>
          <t>Isolar cateteres com plastico durante banho</t>
        </is>
      </c>
    </row>
    <row r="53">
      <c r="A53" s="5" t="inlineStr">
        <is>
          <t>OBS-052</t>
        </is>
      </c>
      <c r="B53" s="6" t="n">
        <v>2</v>
      </c>
      <c r="C53" s="6" t="inlineStr">
        <is>
          <t>Dispositivos</t>
        </is>
      </c>
      <c r="D53" s="6" t="inlineStr">
        <is>
          <t>Dificuldade na adaptacao da mascara da VNI</t>
        </is>
      </c>
    </row>
    <row r="54">
      <c r="A54" s="3" t="inlineStr">
        <is>
          <t>OBS-053</t>
        </is>
      </c>
      <c r="B54" s="4" t="n">
        <v>2</v>
      </c>
      <c r="C54" s="4" t="inlineStr">
        <is>
          <t>Dispositivos</t>
        </is>
      </c>
      <c r="D54" s="4" t="inlineStr">
        <is>
          <t>Falta de dispositivos de realidade virtual para reabilitacao</t>
        </is>
      </c>
    </row>
    <row r="55">
      <c r="A55" s="5" t="inlineStr">
        <is>
          <t>OBS-054</t>
        </is>
      </c>
      <c r="B55" s="6" t="n">
        <v>2</v>
      </c>
      <c r="C55" s="6" t="inlineStr">
        <is>
          <t>Dispositivos</t>
        </is>
      </c>
      <c r="D55" s="6" t="inlineStr">
        <is>
          <t>Videolaringoscopio nao e a primeira escolha para iot de criancas. Aparelho grande dificil de usar em criancas pequenas (&lt; 6 meses)</t>
        </is>
      </c>
    </row>
    <row r="56">
      <c r="A56" s="3" t="inlineStr">
        <is>
          <t>OBS-055</t>
        </is>
      </c>
      <c r="B56" s="4" t="n">
        <v>2</v>
      </c>
      <c r="C56" s="4" t="inlineStr">
        <is>
          <t>Dispositivos</t>
        </is>
      </c>
      <c r="D56" s="4" t="inlineStr">
        <is>
          <t>Pilha de videolaringoscopio dura 120 minutos, depois ele precisa ser jogado fora. Custo do mesmo fica muito alto ( Usam pouco o dispositivo por isto tambem)</t>
        </is>
      </c>
    </row>
    <row r="57">
      <c r="A57" s="5" t="inlineStr">
        <is>
          <t>OBS-056</t>
        </is>
      </c>
      <c r="B57" s="6" t="n">
        <v>2</v>
      </c>
      <c r="C57" s="6" t="inlineStr"/>
      <c r="D57" s="6" t="inlineStr">
        <is>
          <t>Ecocardiograma grande e um unico para dividir com as outras UTIS.</t>
        </is>
      </c>
    </row>
    <row r="58">
      <c r="A58" s="3" t="inlineStr">
        <is>
          <t>OBS-057</t>
        </is>
      </c>
      <c r="B58" s="4" t="n">
        <v>2</v>
      </c>
      <c r="C58" s="4" t="inlineStr"/>
      <c r="D58" s="4" t="inlineStr">
        <is>
          <t>Bulario e guia de medicamentos que foi feito (dosagens minimas e maximas) nao consegue ser aplicado ( pensam em mcg/kg/minuto e mudam pensando em ml/hora)</t>
        </is>
      </c>
    </row>
    <row r="59">
      <c r="A59" s="5" t="inlineStr">
        <is>
          <t>OBS-058</t>
        </is>
      </c>
      <c r="B59" s="6" t="n">
        <v>2</v>
      </c>
      <c r="C59" s="6" t="inlineStr"/>
      <c r="D59" s="6" t="inlineStr">
        <is>
          <t>Para fazer um eletrocardiograma de 12 derivacoes tem que retirar monitoramento habitual ( machuca a pele).</t>
        </is>
      </c>
    </row>
    <row r="60">
      <c r="A60" s="3" t="inlineStr">
        <is>
          <t>OBS-059</t>
        </is>
      </c>
      <c r="B60" s="4" t="n">
        <v>3</v>
      </c>
      <c r="C60" s="4" t="inlineStr">
        <is>
          <t>Equipamentos</t>
        </is>
      </c>
      <c r="D60" s="4" t="inlineStr">
        <is>
          <t>Monitorizacao de sinais vitais com muitos cabos e equipamentos</t>
        </is>
      </c>
    </row>
    <row r="61">
      <c r="A61" s="5" t="inlineStr">
        <is>
          <t>OBS-060</t>
        </is>
      </c>
      <c r="B61" s="6" t="n">
        <v>3</v>
      </c>
      <c r="C61" s="6" t="inlineStr">
        <is>
          <t>Procedimentos</t>
        </is>
      </c>
      <c r="D61" s="6" t="inlineStr">
        <is>
          <t>Acidentes de puncao</t>
        </is>
      </c>
    </row>
    <row r="62">
      <c r="A62" s="3" t="inlineStr">
        <is>
          <t>OBS-061</t>
        </is>
      </c>
      <c r="B62" s="4" t="n">
        <v>3</v>
      </c>
      <c r="C62" s="4" t="inlineStr">
        <is>
          <t>Procedimentos</t>
        </is>
      </c>
      <c r="D62" s="4" t="inlineStr">
        <is>
          <t>Dificuldade na puncao para insercao de cateteres</t>
        </is>
      </c>
    </row>
    <row r="63">
      <c r="A63" s="5" t="inlineStr">
        <is>
          <t>OBS-062</t>
        </is>
      </c>
      <c r="B63" s="6" t="n">
        <v>3</v>
      </c>
      <c r="C63" s="6" t="inlineStr">
        <is>
          <t>Dispositivos</t>
        </is>
      </c>
      <c r="D63" s="6" t="inlineStr">
        <is>
          <t>Altas taxas de infeccao por cateter (especialmente SUS)</t>
        </is>
      </c>
    </row>
    <row r="64">
      <c r="A64" s="3" t="inlineStr">
        <is>
          <t>OBS-063</t>
        </is>
      </c>
      <c r="B64" s="4" t="n">
        <v>3</v>
      </c>
      <c r="C64" s="4" t="inlineStr">
        <is>
          <t>Dispositivos</t>
        </is>
      </c>
      <c r="D64" s="4" t="inlineStr">
        <is>
          <t>Acoplamento do oximetro (especialmente nos bebes)</t>
        </is>
      </c>
    </row>
    <row r="65">
      <c r="A65" s="5" t="inlineStr">
        <is>
          <t>OBS-064</t>
        </is>
      </c>
      <c r="B65" s="6" t="n">
        <v>3</v>
      </c>
      <c r="C65" s="6" t="inlineStr">
        <is>
          <t>Dispositivos</t>
        </is>
      </c>
      <c r="D65" s="6" t="inlineStr">
        <is>
          <t>Reducao de mobilidade por conta de infusao de medicamentos</t>
        </is>
      </c>
    </row>
    <row r="66">
      <c r="A66" s="3" t="inlineStr">
        <is>
          <t>OBS-065</t>
        </is>
      </c>
      <c r="B66" s="4" t="n">
        <v>3</v>
      </c>
      <c r="C66" s="4" t="inlineStr"/>
      <c r="D66" s="4" t="inlineStr">
        <is>
          <t>Dificuldade no diagnostico bronquiolite</t>
        </is>
      </c>
    </row>
    <row r="67">
      <c r="A67" s="5" t="inlineStr">
        <is>
          <t>OBS-066</t>
        </is>
      </c>
      <c r="B67" s="6" t="n">
        <v>3</v>
      </c>
      <c r="C67" s="6" t="inlineStr">
        <is>
          <t>Infraestrutura</t>
        </is>
      </c>
      <c r="D67" s="6" t="inlineStr">
        <is>
          <t>Comunicacao mal direcionada</t>
        </is>
      </c>
    </row>
    <row r="68">
      <c r="A68" s="3" t="inlineStr">
        <is>
          <t>OBS-067</t>
        </is>
      </c>
      <c r="B68" s="4" t="n">
        <v>3</v>
      </c>
      <c r="C68" s="4" t="inlineStr">
        <is>
          <t>Dispositivos</t>
        </is>
      </c>
      <c r="D68" s="4" t="inlineStr">
        <is>
          <t>Os oximetros tem um atraso entre a captacao do sinal e o que e visto na tela</t>
        </is>
      </c>
    </row>
    <row r="69">
      <c r="A69" s="5" t="inlineStr">
        <is>
          <t>OBS-068</t>
        </is>
      </c>
      <c r="B69" s="6" t="n">
        <v>3</v>
      </c>
      <c r="C69" s="6" t="inlineStr"/>
      <c r="D69" s="6" t="inlineStr">
        <is>
          <t>Medicamentos com doses muito variaveis</t>
        </is>
      </c>
    </row>
    <row r="70">
      <c r="A70" s="3" t="inlineStr">
        <is>
          <t>OBS-069</t>
        </is>
      </c>
      <c r="B70" s="4" t="n">
        <v>3</v>
      </c>
      <c r="C70" s="4" t="inlineStr"/>
      <c r="D70" s="4" t="inlineStr">
        <is>
          <t>Sarcopenia infantil (escalable para geriatria)</t>
        </is>
      </c>
    </row>
    <row r="71">
      <c r="A71" s="5" t="inlineStr">
        <is>
          <t>OBS-070</t>
        </is>
      </c>
      <c r="B71" s="6" t="n">
        <v>3</v>
      </c>
      <c r="C71" s="6" t="inlineStr">
        <is>
          <t>Dispositivos</t>
        </is>
      </c>
      <c r="D71" s="6" t="inlineStr">
        <is>
          <t>Puncao arterial invasiva (PAI) produz dor na crianca e pode desconectar</t>
        </is>
      </c>
    </row>
    <row r="72">
      <c r="A72" s="3" t="inlineStr">
        <is>
          <t>OBS-071</t>
        </is>
      </c>
      <c r="B72" s="4" t="n">
        <v>3</v>
      </c>
      <c r="C72" s="4" t="inlineStr">
        <is>
          <t>Dispositivos</t>
        </is>
      </c>
      <c r="D72" s="4" t="inlineStr">
        <is>
          <t>Fixacao de sonda vesical com esparadrapo para fixar</t>
        </is>
      </c>
    </row>
    <row r="73">
      <c r="A73" s="5" t="inlineStr">
        <is>
          <t>OBS-072</t>
        </is>
      </c>
      <c r="B73" s="6" t="n">
        <v>3</v>
      </c>
      <c r="C73" s="6" t="inlineStr">
        <is>
          <t>Dispositivos</t>
        </is>
      </c>
      <c r="D73" s="6" t="inlineStr">
        <is>
          <t>Sonda vesical de demora sem tamanho adequado, necessidade de uma cistostomia para instalar cirurgicamente em algumas ocasioes</t>
        </is>
      </c>
    </row>
    <row r="74">
      <c r="A74" s="3" t="inlineStr">
        <is>
          <t>OBS-073</t>
        </is>
      </c>
      <c r="B74" s="4" t="n">
        <v>3</v>
      </c>
      <c r="C74" s="4" t="inlineStr"/>
      <c r="D74" s="4" t="inlineStr">
        <is>
          <t>Muita medicacao por acesso venoso</t>
        </is>
      </c>
    </row>
    <row r="75">
      <c r="A75" s="5" t="inlineStr">
        <is>
          <t>OBS-074</t>
        </is>
      </c>
      <c r="B75" s="6" t="n">
        <v>3</v>
      </c>
      <c r="C75" s="6" t="inlineStr">
        <is>
          <t>Dispositivos</t>
        </is>
      </c>
      <c r="D75" s="6" t="inlineStr">
        <is>
          <t>A temperatura e medida manualmente, nao de forma continua. Perde-se o registro de picos febris</t>
        </is>
      </c>
    </row>
    <row r="76">
      <c r="A76" s="3" t="inlineStr">
        <is>
          <t>OBS-075</t>
        </is>
      </c>
      <c r="B76" s="4" t="n">
        <v>3</v>
      </c>
      <c r="C76" s="4" t="inlineStr">
        <is>
          <t>Dispositivos</t>
        </is>
      </c>
      <c r="D76" s="4" t="inlineStr">
        <is>
          <t>Capnografo grande para as criancas pequenas</t>
        </is>
      </c>
    </row>
    <row r="77">
      <c r="A77" s="5" t="inlineStr">
        <is>
          <t>OBS-076</t>
        </is>
      </c>
      <c r="B77" s="6" t="n">
        <v>3</v>
      </c>
      <c r="C77" s="6" t="inlineStr"/>
      <c r="D77" s="6" t="inlineStr">
        <is>
          <t>Erro no momento da medicacao</t>
        </is>
      </c>
    </row>
    <row r="78">
      <c r="A78" s="3" t="inlineStr">
        <is>
          <t>OBS-077</t>
        </is>
      </c>
      <c r="B78" s="4" t="n">
        <v>3</v>
      </c>
      <c r="C78" s="4" t="inlineStr">
        <is>
          <t>Procedimentos</t>
        </is>
      </c>
      <c r="D78" s="4" t="inlineStr">
        <is>
          <t>Necessidade de ficar na mesma posicao durante dialise</t>
        </is>
      </c>
    </row>
    <row r="79">
      <c r="A79" s="5" t="inlineStr">
        <is>
          <t>OBS-078</t>
        </is>
      </c>
      <c r="B79" s="6" t="n">
        <v>3</v>
      </c>
      <c r="C79" s="6" t="inlineStr">
        <is>
          <t>Dispositivos</t>
        </is>
      </c>
      <c r="D79" s="6" t="inlineStr">
        <is>
          <t>Fixacao de COT inadequada para bebes</t>
        </is>
      </c>
    </row>
    <row r="80">
      <c r="A80" s="3" t="inlineStr">
        <is>
          <t>OBS-079</t>
        </is>
      </c>
      <c r="B80" s="4" t="n">
        <v>3</v>
      </c>
      <c r="C80" s="4" t="inlineStr">
        <is>
          <t>Procedimentos</t>
        </is>
      </c>
      <c r="D80" s="4" t="inlineStr">
        <is>
          <t>Falha de EOT</t>
        </is>
      </c>
    </row>
    <row r="81">
      <c r="A81" s="5" t="inlineStr">
        <is>
          <t>OBS-080</t>
        </is>
      </c>
      <c r="B81" s="6" t="n">
        <v>3</v>
      </c>
      <c r="C81" s="6" t="inlineStr">
        <is>
          <t>Procedimentos</t>
        </is>
      </c>
      <c r="D81" s="6" t="inlineStr">
        <is>
          <t>EOT acidental</t>
        </is>
      </c>
    </row>
    <row r="82">
      <c r="A82" s="3" t="inlineStr">
        <is>
          <t>OBS-081</t>
        </is>
      </c>
      <c r="B82" s="4" t="n">
        <v>3</v>
      </c>
      <c r="C82" s="4" t="inlineStr">
        <is>
          <t>Dispositivos</t>
        </is>
      </c>
      <c r="D82" s="4" t="inlineStr">
        <is>
          <t>Falta de dispositivos para mobilizacao precoce</t>
        </is>
      </c>
    </row>
    <row r="83">
      <c r="A83" s="5" t="inlineStr">
        <is>
          <t>OBS-082</t>
        </is>
      </c>
      <c r="B83" s="6" t="n">
        <v>3</v>
      </c>
      <c r="C83" s="6" t="inlineStr"/>
      <c r="D83" s="6" t="inlineStr">
        <is>
          <t>Criancas agitadas durante procedimentos</t>
        </is>
      </c>
    </row>
    <row r="84">
      <c r="A84" s="3" t="inlineStr">
        <is>
          <t>OBS-083</t>
        </is>
      </c>
      <c r="B84" s="4" t="n">
        <v>3</v>
      </c>
      <c r="C84" s="4" t="inlineStr"/>
      <c r="D84" s="4" t="inlineStr">
        <is>
          <t>Uso de sedativos e bloqueadores em casos graves aumentam as comorbidades</t>
        </is>
      </c>
    </row>
    <row r="85">
      <c r="A85" s="5" t="inlineStr">
        <is>
          <t>OBS-084</t>
        </is>
      </c>
      <c r="B85" s="6" t="n">
        <v>3</v>
      </c>
      <c r="C85" s="6" t="inlineStr"/>
      <c r="D85" s="6" t="inlineStr">
        <is>
          <t>Sugere NIRS (sistema de monitoriamente por espectometria -infravermelho que ve oxigenacao cerebral) &gt; tem uma fita na fronte com gel condutor &gt; consegue ver dados fidedignos</t>
        </is>
      </c>
    </row>
    <row r="86">
      <c r="A86" s="3" t="inlineStr">
        <is>
          <t>OBS-085</t>
        </is>
      </c>
      <c r="B86" s="4" t="n">
        <v>3</v>
      </c>
      <c r="C86" s="4" t="inlineStr"/>
      <c r="D86" s="4" t="inlineStr">
        <is>
          <t>nao ha uma forma de diferenciar entre tolerancia a droga/ abstinencia x delirium em criancas que estao em uso prolongado  de sedativos. Usam escalas comportamentais, mas as criancas puntuam os dois. Na pratica tratam as duas coisas.</t>
        </is>
      </c>
    </row>
    <row r="87">
      <c r="A87" s="5" t="inlineStr">
        <is>
          <t>OBS-086</t>
        </is>
      </c>
      <c r="B87" s="6" t="n">
        <v>3</v>
      </c>
      <c r="C87" s="6" t="inlineStr"/>
      <c r="D87" s="6" t="inlineStr">
        <is>
          <t>Videoeletroencefalograma e muito grande, ocupa espaco e nao e conectado com outras aparelhagens e monitores.</t>
        </is>
      </c>
    </row>
    <row r="88">
      <c r="A88" s="3" t="inlineStr">
        <is>
          <t>OBS-087</t>
        </is>
      </c>
      <c r="B88" s="4" t="n">
        <v>3</v>
      </c>
      <c r="C88" s="4" t="inlineStr">
        <is>
          <t>Dispositivos</t>
        </is>
      </c>
      <c r="D88" s="4" t="inlineStr">
        <is>
          <t>Suporte de bombas nao suporta o peso delas. Ja tiveram 4 acidentes com queda do suporte nos pacientes.</t>
        </is>
      </c>
    </row>
    <row r="89">
      <c r="A89" s="5" t="inlineStr">
        <is>
          <t>OBS-088</t>
        </is>
      </c>
      <c r="B89" s="6" t="n">
        <v>3</v>
      </c>
      <c r="C89" s="6" t="inlineStr"/>
      <c r="D89" s="6" t="inlineStr">
        <is>
          <t>Cola do eletroencefalograma muito forte &gt; machuca pele</t>
        </is>
      </c>
    </row>
    <row r="90">
      <c r="A90" s="3" t="inlineStr">
        <is>
          <t>OBS-089</t>
        </is>
      </c>
      <c r="B90" s="4" t="n">
        <v>3</v>
      </c>
      <c r="C90" s="4" t="inlineStr"/>
      <c r="D90" s="4" t="inlineStr">
        <is>
          <t>Como titular nivel de sedacao</t>
        </is>
      </c>
    </row>
    <row r="91">
      <c r="A91" s="5" t="inlineStr">
        <is>
          <t>OBS-090</t>
        </is>
      </c>
      <c r="B91" s="6" t="n">
        <v>3</v>
      </c>
      <c r="C91" s="6" t="inlineStr"/>
      <c r="D91" s="6" t="inlineStr">
        <is>
          <t>Checagem de bombas a cada hora (atrapalha servico de enfermagem)</t>
        </is>
      </c>
    </row>
    <row r="92">
      <c r="A92" s="3" t="inlineStr">
        <is>
          <t>OBS-091</t>
        </is>
      </c>
      <c r="B92" s="4" t="n">
        <v>3</v>
      </c>
      <c r="C92" s="4" t="inlineStr"/>
      <c r="D92" s="4" t="inlineStr">
        <is>
          <t>Formas de fixar cateter periferico (talas sao proibidas)</t>
        </is>
      </c>
    </row>
    <row r="93">
      <c r="A93" s="5" t="inlineStr">
        <is>
          <t>OBS-092</t>
        </is>
      </c>
      <c r="B93" s="6" t="n">
        <v>3</v>
      </c>
      <c r="C93" s="6" t="inlineStr"/>
      <c r="D93" s="6" t="inlineStr">
        <is>
          <t>Pouca indicacao de picc para criancas. leva muitas perdas.</t>
        </is>
      </c>
    </row>
    <row r="94">
      <c r="A94" s="3" t="inlineStr">
        <is>
          <t>OBS-093</t>
        </is>
      </c>
      <c r="B94" s="4" t="n">
        <v>3</v>
      </c>
      <c r="C94" s="4" t="inlineStr">
        <is>
          <t>Dispositivos</t>
        </is>
      </c>
      <c r="D94" s="4" t="inlineStr">
        <is>
          <t>Bomba de seringa obstrui demais</t>
        </is>
      </c>
    </row>
    <row r="95">
      <c r="A95" s="5" t="inlineStr">
        <is>
          <t>OBS-094</t>
        </is>
      </c>
      <c r="B95" s="6" t="n">
        <v>3</v>
      </c>
      <c r="C95" s="6" t="inlineStr"/>
      <c r="D95" s="6" t="inlineStr">
        <is>
          <t>nao ha uma fixacao de Dreno de torax  especifica  para criancas  (algo feito e montado com tensoplast ( pode machucar)</t>
        </is>
      </c>
    </row>
  </sheetData>
  <autoFilter ref="A1:D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7" customWidth="1" min="3" max="3"/>
    <col width="28" customWidth="1" min="4" max="4"/>
    <col width="50" customWidth="1" min="5" max="5"/>
    <col width="50" customWidth="1" min="6" max="6"/>
    <col width="40" customWidth="1" min="7" max="7"/>
    <col width="50" customWidth="1" min="8" max="8"/>
    <col width="50" customWidth="1" min="9" max="9"/>
    <col width="28" customWidth="1" min="10" max="10"/>
    <col width="9" customWidth="1" min="11" max="11"/>
  </cols>
  <sheetData>
    <row r="1">
      <c r="A1" s="8" t="inlineStr">
        <is>
          <t>id_filha</t>
        </is>
      </c>
      <c r="B1" s="8" t="inlineStr">
        <is>
          <t>id_mae</t>
        </is>
      </c>
      <c r="C1" s="8" t="inlineStr">
        <is>
          <t>Potencial (0-3)</t>
        </is>
      </c>
      <c r="D1" s="8" t="inlineStr">
        <is>
          <t>Type</t>
        </is>
      </c>
      <c r="E1" s="8" t="inlineStr">
        <is>
          <t>Observations</t>
        </is>
      </c>
      <c r="F1" s="8" t="inlineStr">
        <is>
          <t>Problem</t>
        </is>
      </c>
      <c r="G1" s="8" t="inlineStr">
        <is>
          <t>Population</t>
        </is>
      </c>
      <c r="H1" s="8" t="inlineStr">
        <is>
          <t>Intend outcome</t>
        </is>
      </c>
      <c r="I1" s="8" t="inlineStr">
        <is>
          <t>Need Statements</t>
        </is>
      </c>
      <c r="J1" s="8" t="inlineStr">
        <is>
          <t>Cluster</t>
        </is>
      </c>
      <c r="K1" s="8" t="inlineStr">
        <is>
          <t>Nome</t>
        </is>
      </c>
    </row>
    <row r="2">
      <c r="A2" t="inlineStr">
        <is>
          <t>NEED-001</t>
        </is>
      </c>
      <c r="B2" t="inlineStr">
        <is>
          <t>OBS-066</t>
        </is>
      </c>
      <c r="C2">
        <f>VLOOKUP(B2,Observacoes!$A:$D,2,FALSE)</f>
        <v/>
      </c>
      <c r="D2">
        <f>VLOOKUP(B2,Observacoes!$A:$D,3,FALSE)</f>
        <v/>
      </c>
      <c r="E2">
        <f>VLOOKUP(B2,Observacoes!$A:$D,4,FALSE)</f>
        <v/>
      </c>
      <c r="F2" t="inlineStr">
        <is>
          <t>Comunicacao inefetiva</t>
        </is>
      </c>
      <c r="G2" t="inlineStr">
        <is>
          <t>Criancas internadas na UTI</t>
        </is>
      </c>
      <c r="H2" t="inlineStr">
        <is>
          <t>Melhorar mobilidade</t>
        </is>
      </c>
      <c r="I2" t="inlineStr">
        <is>
          <t>Uma forma de melhorar a comunicacao entre profissionais na UTI pediatrica com o objetivo de reduzir o tempo de resposta ordem-acao em x%</t>
        </is>
      </c>
      <c r="J2" t="inlineStr">
        <is>
          <t>Monitoramento</t>
        </is>
      </c>
      <c r="K2" t="inlineStr">
        <is>
          <t>Ana</t>
        </is>
      </c>
    </row>
    <row r="3">
      <c r="A3" t="inlineStr">
        <is>
          <t>NEED-002</t>
        </is>
      </c>
      <c r="B3" t="inlineStr">
        <is>
          <t>OBS-059</t>
        </is>
      </c>
      <c r="C3">
        <f>VLOOKUP(B3,Observacoes!$A:$D,2,FALSE)</f>
        <v/>
      </c>
      <c r="D3">
        <f>VLOOKUP(B3,Observacoes!$A:$D,3,FALSE)</f>
        <v/>
      </c>
      <c r="E3">
        <f>VLOOKUP(B3,Observacoes!$A:$D,4,FALSE)</f>
        <v/>
      </c>
      <c r="F3" t="inlineStr">
        <is>
          <t>Excesso de cabos e monitores</t>
        </is>
      </c>
      <c r="G3" t="inlineStr">
        <is>
          <t>Criancas internadas na UTI</t>
        </is>
      </c>
      <c r="H3" t="inlineStr">
        <is>
          <t>Reduzir ansiedade dos pais</t>
        </is>
      </c>
      <c r="I3" t="inlineStr">
        <is>
          <t>Uma forma de otimizar a monitorizacao de sinais vitais em criancas internadas na UTI com o objetivo de aumentar a mobilidade das criancas em x%</t>
        </is>
      </c>
      <c r="J3" t="inlineStr">
        <is>
          <t>Monitoramento</t>
        </is>
      </c>
      <c r="K3" t="inlineStr">
        <is>
          <t>Ana</t>
        </is>
      </c>
    </row>
    <row r="4">
      <c r="A4" t="inlineStr">
        <is>
          <t>NEED-003</t>
        </is>
      </c>
      <c r="B4" t="inlineStr">
        <is>
          <t>OBS-059</t>
        </is>
      </c>
      <c r="C4">
        <f>VLOOKUP(B4,Observacoes!$A:$D,2,FALSE)</f>
        <v/>
      </c>
      <c r="D4">
        <f>VLOOKUP(B4,Observacoes!$A:$D,3,FALSE)</f>
        <v/>
      </c>
      <c r="E4">
        <f>VLOOKUP(B4,Observacoes!$A:$D,4,FALSE)</f>
        <v/>
      </c>
      <c r="F4" t="inlineStr">
        <is>
          <t>Excesso de cabos e monitores</t>
        </is>
      </c>
      <c r="G4" t="inlineStr">
        <is>
          <t>Criancas internadas na UTI</t>
        </is>
      </c>
      <c r="H4" t="inlineStr">
        <is>
          <t>Antecipar diagnostico sepse</t>
        </is>
      </c>
      <c r="I4" t="inlineStr">
        <is>
          <t>Uma forma de otimizar a monitorizacao de sinais vitais em criancas internadas na UTI com o objetivo de reduzir a ansiedade dos pais dos pacientes em x%</t>
        </is>
      </c>
      <c r="J4" t="inlineStr">
        <is>
          <t>Monitoramento</t>
        </is>
      </c>
      <c r="K4" t="inlineStr">
        <is>
          <t>Ana</t>
        </is>
      </c>
    </row>
    <row r="5">
      <c r="A5" t="inlineStr">
        <is>
          <t>NEED-004</t>
        </is>
      </c>
      <c r="B5" t="inlineStr">
        <is>
          <t>OBS-074</t>
        </is>
      </c>
      <c r="C5">
        <f>VLOOKUP(B5,Observacoes!$A:$D,2,FALSE)</f>
        <v/>
      </c>
      <c r="D5">
        <f>VLOOKUP(B5,Observacoes!$A:$D,3,FALSE)</f>
        <v/>
      </c>
      <c r="E5">
        <f>VLOOKUP(B5,Observacoes!$A:$D,4,FALSE)</f>
        <v/>
      </c>
      <c r="F5" t="inlineStr">
        <is>
          <t>Afericao de temperatura em intervalos longos (perder picos febris, perder o time de sepse</t>
        </is>
      </c>
      <c r="G5" t="inlineStr">
        <is>
          <t>Criancas internadas na UTI</t>
        </is>
      </c>
      <c r="H5" t="inlineStr">
        <is>
          <t>Antecipar tratamento de infeccoes</t>
        </is>
      </c>
      <c r="I5" t="inlineStr">
        <is>
          <t>Uma forma de prever picos febris em paciente imunosuprimidos oncologicos pediatricos para antecipar o diagnostico de sepse em x %.</t>
        </is>
      </c>
      <c r="J5" t="inlineStr">
        <is>
          <t>Monitoramento</t>
        </is>
      </c>
      <c r="K5" t="inlineStr">
        <is>
          <t>Ana</t>
        </is>
      </c>
    </row>
    <row r="6">
      <c r="A6" t="inlineStr">
        <is>
          <t>NEED-005</t>
        </is>
      </c>
      <c r="B6" t="inlineStr">
        <is>
          <t>OBS-074</t>
        </is>
      </c>
      <c r="C6">
        <f>VLOOKUP(B6,Observacoes!$A:$D,2,FALSE)</f>
        <v/>
      </c>
      <c r="D6">
        <f>VLOOKUP(B6,Observacoes!$A:$D,3,FALSE)</f>
        <v/>
      </c>
      <c r="E6">
        <f>VLOOKUP(B6,Observacoes!$A:$D,4,FALSE)</f>
        <v/>
      </c>
      <c r="F6" t="inlineStr">
        <is>
          <t>Afericao de temperatura em intervalos longos (perder picos febris, perder o time de infeccoes</t>
        </is>
      </c>
      <c r="G6" t="inlineStr">
        <is>
          <t>Criancas hospitalizadas</t>
        </is>
      </c>
      <c r="H6" t="inlineStr">
        <is>
          <t>Melhores compressoes cardiacas durante RCP</t>
        </is>
      </c>
      <c r="I6" t="inlineStr">
        <is>
          <t>Uma forma de prever picos febris em pacientes imunosuprimidos oncologicos pediatricos para antecipar o tratamento de infeccoes em x%</t>
        </is>
      </c>
      <c r="J6" t="inlineStr">
        <is>
          <t>Monitoramento</t>
        </is>
      </c>
      <c r="K6" t="inlineStr">
        <is>
          <t>Ana</t>
        </is>
      </c>
    </row>
    <row r="7">
      <c r="A7" t="inlineStr">
        <is>
          <t>NEED-006</t>
        </is>
      </c>
      <c r="B7" t="inlineStr">
        <is>
          <t>OBS-075</t>
        </is>
      </c>
      <c r="C7">
        <f>VLOOKUP(B7,Observacoes!$A:$D,2,FALSE)</f>
        <v/>
      </c>
      <c r="D7">
        <f>VLOOKUP(B7,Observacoes!$A:$D,3,FALSE)</f>
        <v/>
      </c>
      <c r="E7">
        <f>VLOOKUP(B7,Observacoes!$A:$D,4,FALSE)</f>
        <v/>
      </c>
      <c r="F7" t="inlineStr">
        <is>
          <t>Capnografo inadequados para criancas pequenas</t>
        </is>
      </c>
      <c r="G7" t="inlineStr">
        <is>
          <t>Criancas internadas na UTI</t>
        </is>
      </c>
      <c r="H7" t="inlineStr">
        <is>
          <t>Melhor ajuste ventilatorio</t>
        </is>
      </c>
      <c r="I7" t="inlineStr">
        <is>
          <t>Uma nova forma de monitorizar o ETCO2 em pacientes criticos pediatricos para tornar as compressoes cardiacas mais efetivas em x% durante as PCRs</t>
        </is>
      </c>
      <c r="J7" t="inlineStr">
        <is>
          <t>Monitoramento</t>
        </is>
      </c>
      <c r="K7" t="inlineStr">
        <is>
          <t>Ana</t>
        </is>
      </c>
    </row>
    <row r="8">
      <c r="A8" t="inlineStr">
        <is>
          <t>NEED-007</t>
        </is>
      </c>
      <c r="B8" t="inlineStr">
        <is>
          <t>OBS-075</t>
        </is>
      </c>
      <c r="C8">
        <f>VLOOKUP(B8,Observacoes!$A:$D,2,FALSE)</f>
        <v/>
      </c>
      <c r="D8">
        <f>VLOOKUP(B8,Observacoes!$A:$D,3,FALSE)</f>
        <v/>
      </c>
      <c r="E8">
        <f>VLOOKUP(B8,Observacoes!$A:$D,4,FALSE)</f>
        <v/>
      </c>
      <c r="F8" t="inlineStr">
        <is>
          <t>Capnografo inadequados para criancas pequenas</t>
        </is>
      </c>
      <c r="G8" t="inlineStr">
        <is>
          <t>Criancas internadas na UTI</t>
        </is>
      </c>
      <c r="H8" t="inlineStr">
        <is>
          <t>Melhorar mobilidade</t>
        </is>
      </c>
      <c r="I8" t="inlineStr">
        <is>
          <t>Uma nova forma de monitorizar o ETCO2 em pacientes criticos pediatricos para reduzir o tempo de desmame ventilatorio em x%</t>
        </is>
      </c>
      <c r="J8" t="inlineStr">
        <is>
          <t>Monitoramento</t>
        </is>
      </c>
      <c r="K8" t="inlineStr">
        <is>
          <t>Ana</t>
        </is>
      </c>
    </row>
    <row r="9">
      <c r="A9" t="inlineStr">
        <is>
          <t>NEED-008</t>
        </is>
      </c>
      <c r="B9" t="inlineStr">
        <is>
          <t>OBS-086</t>
        </is>
      </c>
      <c r="C9">
        <f>VLOOKUP(B9,Observacoes!$A:$D,2,FALSE)</f>
        <v/>
      </c>
      <c r="D9">
        <f>VLOOKUP(B9,Observacoes!$A:$D,3,FALSE)</f>
        <v/>
      </c>
      <c r="E9">
        <f>VLOOKUP(B9,Observacoes!$A:$D,4,FALSE)</f>
        <v/>
      </c>
      <c r="F9" t="inlineStr">
        <is>
          <t>Equipamento de EEG grande e sem conexao com outros monitores</t>
        </is>
      </c>
      <c r="G9" t="inlineStr">
        <is>
          <t>Criancas internadas na UTI</t>
        </is>
      </c>
      <c r="H9" t="inlineStr">
        <is>
          <t>Evitar acidentes com as bombas de infusao</t>
        </is>
      </c>
      <c r="I9" t="inlineStr">
        <is>
          <t>Uma nova forma de monitorizar ondas cerebrais em pacientes pediatricos com objetivo de melhorar a mobilidade em x%</t>
        </is>
      </c>
      <c r="J9" t="inlineStr">
        <is>
          <t>Monitoramento</t>
        </is>
      </c>
      <c r="K9" t="inlineStr">
        <is>
          <t>Ana</t>
        </is>
      </c>
    </row>
    <row r="10">
      <c r="A10" t="inlineStr">
        <is>
          <t>NEED-009</t>
        </is>
      </c>
      <c r="B10" t="inlineStr">
        <is>
          <t>OBS-087</t>
        </is>
      </c>
      <c r="C10">
        <f>VLOOKUP(B10,Observacoes!$A:$D,2,FALSE)</f>
        <v/>
      </c>
      <c r="D10">
        <f>VLOOKUP(B10,Observacoes!$A:$D,3,FALSE)</f>
        <v/>
      </c>
      <c r="E10">
        <f>VLOOKUP(B10,Observacoes!$A:$D,4,FALSE)</f>
        <v/>
      </c>
      <c r="F10" t="inlineStr">
        <is>
          <t>Bombas e suportes de bombas inadequados para essa populacao</t>
        </is>
      </c>
      <c r="G10" t="inlineStr">
        <is>
          <t>Criancas internadas</t>
        </is>
      </c>
      <c r="H10" t="inlineStr">
        <is>
          <t>Reduzir o tempo gasto com ajustes</t>
        </is>
      </c>
      <c r="I10" t="inlineStr">
        <is>
          <t>Uma forma de infundir medicacoes em pacientes pediatricos internados com o objetivo de melhorar a mobilidade das criancas em x%</t>
        </is>
      </c>
      <c r="J10" t="inlineStr">
        <is>
          <t>Medicamentos</t>
        </is>
      </c>
      <c r="K10" t="inlineStr">
        <is>
          <t>Ana</t>
        </is>
      </c>
    </row>
    <row r="11">
      <c r="A11" t="inlineStr">
        <is>
          <t>NEED-010</t>
        </is>
      </c>
      <c r="B11" t="inlineStr">
        <is>
          <t>OBS-087</t>
        </is>
      </c>
      <c r="C11">
        <f>VLOOKUP(B11,Observacoes!$A:$D,2,FALSE)</f>
        <v/>
      </c>
      <c r="D11">
        <f>VLOOKUP(B11,Observacoes!$A:$D,3,FALSE)</f>
        <v/>
      </c>
      <c r="E11">
        <f>VLOOKUP(B11,Observacoes!$A:$D,4,FALSE)</f>
        <v/>
      </c>
      <c r="F11" t="inlineStr">
        <is>
          <t>Bombas e suportes de bombas inadequados para essa populacao</t>
        </is>
      </c>
      <c r="G11" t="inlineStr">
        <is>
          <t>Criancas internadas</t>
        </is>
      </c>
      <c r="H11" t="inlineStr">
        <is>
          <t>Evitar erros de dosagem</t>
        </is>
      </c>
      <c r="I11" t="inlineStr">
        <is>
          <t>Uma forma de infundir medicacoes em pacientes pediatricos internados com o objetivo de tornar esse processo mais seguro em x% (evitar erros graves evitaveis)</t>
        </is>
      </c>
      <c r="J11" t="inlineStr">
        <is>
          <t>Medicamentos</t>
        </is>
      </c>
      <c r="K11" t="inlineStr">
        <is>
          <t>Ana</t>
        </is>
      </c>
    </row>
    <row r="12">
      <c r="A12" t="inlineStr">
        <is>
          <t>NEED-011</t>
        </is>
      </c>
      <c r="B12" t="inlineStr">
        <is>
          <t>OBS-090</t>
        </is>
      </c>
      <c r="C12">
        <f>VLOOKUP(B12,Observacoes!$A:$D,2,FALSE)</f>
        <v/>
      </c>
      <c r="D12">
        <f>VLOOKUP(B12,Observacoes!$A:$D,3,FALSE)</f>
        <v/>
      </c>
      <c r="E12">
        <f>VLOOKUP(B12,Observacoes!$A:$D,4,FALSE)</f>
        <v/>
      </c>
      <c r="F12" t="inlineStr">
        <is>
          <t>Ajuste de bombas realizados de forma manual</t>
        </is>
      </c>
      <c r="G12" t="inlineStr">
        <is>
          <t>Criancas internadas na UTI</t>
        </is>
      </c>
      <c r="H12" t="inlineStr">
        <is>
          <t>Reduzir complicacoes de RE-IOT</t>
        </is>
      </c>
      <c r="I12" t="inlineStr">
        <is>
          <t>Uma forma de automatizar as bombas de infusao das UTIs pediatricas com o objetivo de otimizar o tempo da enfermagem em x%</t>
        </is>
      </c>
      <c r="J12" t="inlineStr">
        <is>
          <t>Medicamentos</t>
        </is>
      </c>
      <c r="K12" t="inlineStr">
        <is>
          <t>Ana</t>
        </is>
      </c>
    </row>
    <row r="13">
      <c r="A13" t="inlineStr">
        <is>
          <t>NEED-012</t>
        </is>
      </c>
      <c r="B13" t="inlineStr">
        <is>
          <t>OBS-090</t>
        </is>
      </c>
      <c r="C13">
        <f>VLOOKUP(B13,Observacoes!$A:$D,2,FALSE)</f>
        <v/>
      </c>
      <c r="D13">
        <f>VLOOKUP(B13,Observacoes!$A:$D,3,FALSE)</f>
        <v/>
      </c>
      <c r="E13">
        <f>VLOOKUP(B13,Observacoes!$A:$D,4,FALSE)</f>
        <v/>
      </c>
      <c r="F13" t="inlineStr">
        <is>
          <t>Ajuste de bombas realizados de forma manual</t>
        </is>
      </c>
      <c r="G13" t="inlineStr">
        <is>
          <t>Criancas internadas na UTI</t>
        </is>
      </c>
      <c r="H13" t="inlineStr">
        <is>
          <t>Reduzir RE-IOT</t>
        </is>
      </c>
      <c r="I13" t="inlineStr">
        <is>
          <t>Uma forma de automatizar as bombas de infusao das UTIs pediatricas com o objetivo de evitar erros de processo em x%</t>
        </is>
      </c>
      <c r="J13" t="inlineStr">
        <is>
          <t>Medicamentos</t>
        </is>
      </c>
      <c r="K13" t="inlineStr">
        <is>
          <t>Ana</t>
        </is>
      </c>
    </row>
    <row r="14">
      <c r="A14" t="inlineStr">
        <is>
          <t>NEED-013</t>
        </is>
      </c>
      <c r="B14" t="inlineStr">
        <is>
          <t>OBS-093</t>
        </is>
      </c>
      <c r="C14">
        <f>VLOOKUP(B14,Observacoes!$A:$D,2,FALSE)</f>
        <v/>
      </c>
      <c r="D14">
        <f>VLOOKUP(B14,Observacoes!$A:$D,3,FALSE)</f>
        <v/>
      </c>
      <c r="E14">
        <f>VLOOKUP(B14,Observacoes!$A:$D,4,FALSE)</f>
        <v/>
      </c>
      <c r="F14" t="inlineStr">
        <is>
          <t>Obstrucao das seringas</t>
        </is>
      </c>
      <c r="G14" t="inlineStr">
        <is>
          <t>Criancas internadas na UTI</t>
        </is>
      </c>
      <c r="H14" t="inlineStr">
        <is>
          <t>Reduzir tempo de reposta da ordem ate acao</t>
        </is>
      </c>
      <c r="I14" t="inlineStr">
        <is>
          <t>Uma forma melhorar as bombas de seringa das UTIs pediatricas com o objetivo de evitar obstrucoes em x%</t>
        </is>
      </c>
      <c r="J14" t="inlineStr">
        <is>
          <t>Medicamentos</t>
        </is>
      </c>
      <c r="K14" t="inlineStr">
        <is>
          <t>Ana</t>
        </is>
      </c>
    </row>
    <row r="15">
      <c r="A15" t="inlineStr">
        <is>
          <t>NEED-014</t>
        </is>
      </c>
      <c r="B15" t="inlineStr">
        <is>
          <t>OBS-079</t>
        </is>
      </c>
      <c r="C15">
        <f>VLOOKUP(B15,Observacoes!$A:$D,2,FALSE)</f>
        <v/>
      </c>
      <c r="D15">
        <f>VLOOKUP(B15,Observacoes!$A:$D,3,FALSE)</f>
        <v/>
      </c>
      <c r="E15">
        <f>VLOOKUP(B15,Observacoes!$A:$D,4,FALSE)</f>
        <v/>
      </c>
      <c r="F15" t="inlineStr">
        <is>
          <t>Reintubacoes em menos de 48h da EOT</t>
        </is>
      </c>
      <c r="G15" t="inlineStr">
        <is>
          <t>Criancas hospitalizadas</t>
        </is>
      </c>
      <c r="H15" t="inlineStr">
        <is>
          <t>Permitir que o exame seja realizado de forma facilitada</t>
        </is>
      </c>
      <c r="I15" t="inlineStr">
        <is>
          <t>Uma forma de garantir extubacao assertiva nas UTIs pediatricas com o objetivo de reduzir as complicacoes de reintubacoes em x%</t>
        </is>
      </c>
      <c r="J15" t="inlineStr">
        <is>
          <t>Respiratorio</t>
        </is>
      </c>
      <c r="K15" t="inlineStr">
        <is>
          <t>Ana</t>
        </is>
      </c>
    </row>
    <row r="16">
      <c r="A16" t="inlineStr">
        <is>
          <t>NEED-015</t>
        </is>
      </c>
      <c r="B16" t="inlineStr">
        <is>
          <t>OBS-079</t>
        </is>
      </c>
      <c r="C16">
        <f>VLOOKUP(B16,Observacoes!$A:$D,2,FALSE)</f>
        <v/>
      </c>
      <c r="D16">
        <f>VLOOKUP(B16,Observacoes!$A:$D,3,FALSE)</f>
        <v/>
      </c>
      <c r="E16">
        <f>VLOOKUP(B16,Observacoes!$A:$D,4,FALSE)</f>
        <v/>
      </c>
      <c r="F16" t="inlineStr">
        <is>
          <t>Reintubacoes em menos de 48h da EOT</t>
        </is>
      </c>
      <c r="G16" t="inlineStr">
        <is>
          <t>Criancas internadas na UTI</t>
        </is>
      </c>
      <c r="H16" t="inlineStr">
        <is>
          <t>Reduzir obstrucoes</t>
        </is>
      </c>
      <c r="I16" t="inlineStr">
        <is>
          <t>Uma forma de garantir extubacao assertiva nas UTIs pediatricas com o objetivo de reduzir as reintubacoes em x%</t>
        </is>
      </c>
      <c r="J16" t="inlineStr">
        <is>
          <t>Respiratorio</t>
        </is>
      </c>
      <c r="K16" t="inlineStr">
        <is>
          <t>Ana</t>
        </is>
      </c>
    </row>
    <row r="17">
      <c r="A17" t="inlineStr">
        <is>
          <t>NEED-016</t>
        </is>
      </c>
      <c r="B17" t="inlineStr">
        <is>
          <t>OBS-080</t>
        </is>
      </c>
      <c r="C17">
        <f>VLOOKUP(B17,Observacoes!$A:$D,2,FALSE)</f>
        <v/>
      </c>
      <c r="D17">
        <f>VLOOKUP(B17,Observacoes!$A:$D,3,FALSE)</f>
        <v/>
      </c>
      <c r="E17">
        <f>VLOOKUP(B17,Observacoes!$A:$D,4,FALSE)</f>
        <v/>
      </c>
      <c r="F17" t="inlineStr">
        <is>
          <t>Aumento do risco de morte por insuficiencia respiratoria ( se nao for possivel realizar via aerea patente em tempo habil)</t>
        </is>
      </c>
      <c r="G17" t="inlineStr">
        <is>
          <t>Criancas internadas na UTI</t>
        </is>
      </c>
      <c r="H17" t="inlineStr">
        <is>
          <t>Reduzir a mortalidade por Insuficiencia respiratoria aguda causada por falha de Eot acidental.</t>
        </is>
      </c>
      <c r="I17" t="inlineStr">
        <is>
          <t>Uma forma de reduzir a eot acidental com objetivo de reduzir a mortalidade decorrente dela em x%</t>
        </is>
      </c>
      <c r="J17" t="inlineStr">
        <is>
          <t>Respiratorio</t>
        </is>
      </c>
      <c r="K17" t="inlineStr">
        <is>
          <t>Mariana</t>
        </is>
      </c>
    </row>
    <row r="18">
      <c r="A18" t="inlineStr">
        <is>
          <t>NEED-017</t>
        </is>
      </c>
      <c r="B18" t="inlineStr">
        <is>
          <t>OBS-080</t>
        </is>
      </c>
      <c r="C18">
        <f>VLOOKUP(B18,Observacoes!$A:$D,2,FALSE)</f>
        <v/>
      </c>
      <c r="D18">
        <f>VLOOKUP(B18,Observacoes!$A:$D,3,FALSE)</f>
        <v/>
      </c>
      <c r="E18">
        <f>VLOOKUP(B18,Observacoes!$A:$D,4,FALSE)</f>
        <v/>
      </c>
      <c r="F18" t="inlineStr">
        <is>
          <t>Hipoxia cerebral e consequentemente danos derebrais irreversiveis ( sequelas neurologicas) pelo tempo que ficou sem oxigenacao adequada</t>
        </is>
      </c>
      <c r="G18" t="inlineStr">
        <is>
          <t>Criancas internadas na UTI</t>
        </is>
      </c>
      <c r="H18" t="inlineStr">
        <is>
          <t>Reduzir sequelas neurologicas e danos permanentes causados pela hipoxia decorrente de EOT acidentaL</t>
        </is>
      </c>
      <c r="I18" t="inlineStr">
        <is>
          <t>Uma forma de Reduzir sequelas neurologicas causados pela hipoxia decorrente de EOT acidental em x%</t>
        </is>
      </c>
      <c r="J18" t="inlineStr">
        <is>
          <t>Respiratorio</t>
        </is>
      </c>
      <c r="K18" t="inlineStr">
        <is>
          <t>Mariana</t>
        </is>
      </c>
    </row>
    <row r="19">
      <c r="A19" t="inlineStr">
        <is>
          <t>NEED-018</t>
        </is>
      </c>
      <c r="B19" t="inlineStr">
        <is>
          <t>OBS-080</t>
        </is>
      </c>
      <c r="C19">
        <f>VLOOKUP(B19,Observacoes!$A:$D,2,FALSE)</f>
        <v/>
      </c>
      <c r="D19">
        <f>VLOOKUP(B19,Observacoes!$A:$D,3,FALSE)</f>
        <v/>
      </c>
      <c r="E19">
        <f>VLOOKUP(B19,Observacoes!$A:$D,4,FALSE)</f>
        <v/>
      </c>
      <c r="F19" t="inlineStr">
        <is>
          <t>Aumento do tempo de internacao na UTI decorrente das complicacoes.</t>
        </is>
      </c>
      <c r="G19" t="inlineStr">
        <is>
          <t>Criancas internadas na UTI</t>
        </is>
      </c>
      <c r="H19" t="inlineStr">
        <is>
          <t>Reduzir tempo de internacao em UTI de pacientes que tiveram complicacoes de uma EOT acidental.</t>
        </is>
      </c>
      <c r="I19" t="inlineStr">
        <is>
          <t>Uma forma de diminuir a incidencia de  eots acidentais  reduzindo em x% o tempo de internacao em uti.</t>
        </is>
      </c>
      <c r="J19" t="inlineStr">
        <is>
          <t>Respiratorio</t>
        </is>
      </c>
      <c r="K19" t="inlineStr">
        <is>
          <t>Mariana</t>
        </is>
      </c>
    </row>
    <row r="20">
      <c r="A20" t="inlineStr">
        <is>
          <t>NEED-019</t>
        </is>
      </c>
      <c r="B20" t="inlineStr">
        <is>
          <t>OBS-080</t>
        </is>
      </c>
      <c r="C20">
        <f>VLOOKUP(B20,Observacoes!$A:$D,2,FALSE)</f>
        <v/>
      </c>
      <c r="D20">
        <f>VLOOKUP(B20,Observacoes!$A:$D,3,FALSE)</f>
        <v/>
      </c>
      <c r="E20">
        <f>VLOOKUP(B20,Observacoes!$A:$D,4,FALSE)</f>
        <v/>
      </c>
      <c r="F20" t="inlineStr">
        <is>
          <t>Maior chance de fazer pneumonia aspirativa/ Infeccao</t>
        </is>
      </c>
      <c r="G20" t="inlineStr">
        <is>
          <t>Criancas internadas na UTI</t>
        </is>
      </c>
      <c r="H20" t="inlineStr">
        <is>
          <t>Reduzir as taxas de Pneumonia aspirativa decorrentes de EOT acidental.</t>
        </is>
      </c>
      <c r="I20" t="inlineStr">
        <is>
          <t>Uma forma de diminuir a incidencia de broncopneumonia aspirativa pos eot acidental em x%</t>
        </is>
      </c>
      <c r="J20" t="inlineStr">
        <is>
          <t>Respiratorio</t>
        </is>
      </c>
      <c r="K20" t="inlineStr">
        <is>
          <t>Mariana</t>
        </is>
      </c>
    </row>
    <row r="21">
      <c r="A21" t="inlineStr">
        <is>
          <t>NEED-020</t>
        </is>
      </c>
      <c r="B21" t="inlineStr">
        <is>
          <t>OBS-080</t>
        </is>
      </c>
      <c r="C21">
        <f>VLOOKUP(B21,Observacoes!$A:$D,2,FALSE)</f>
        <v/>
      </c>
      <c r="D21">
        <f>VLOOKUP(B21,Observacoes!$A:$D,3,FALSE)</f>
        <v/>
      </c>
      <c r="E21">
        <f>VLOOKUP(B21,Observacoes!$A:$D,4,FALSE)</f>
        <v/>
      </c>
      <c r="F21" t="inlineStr">
        <is>
          <t>Causa traumas psicologicos a familia e a crianca.</t>
        </is>
      </c>
      <c r="G21" t="inlineStr">
        <is>
          <t>Criancas internadas na UTI</t>
        </is>
      </c>
      <c r="H21" t="inlineStr">
        <is>
          <t>Reduzir ansiedade e traumas psicologicas relacionados a EOT acidental.</t>
        </is>
      </c>
      <c r="I21" t="inlineStr">
        <is>
          <t>Uma forma de reduzir em x% a incidencia de estresse pos traumatico relacionado a eventos adversos (Especificamente) eot acidental</t>
        </is>
      </c>
      <c r="J21" t="inlineStr">
        <is>
          <t>Respiratorio</t>
        </is>
      </c>
      <c r="K21" t="inlineStr">
        <is>
          <t>Mariana</t>
        </is>
      </c>
    </row>
    <row r="22">
      <c r="A22" t="inlineStr">
        <is>
          <t>NEED-021</t>
        </is>
      </c>
      <c r="B22" t="inlineStr">
        <is>
          <t>OBS-080</t>
        </is>
      </c>
      <c r="C22">
        <f>VLOOKUP(B22,Observacoes!$A:$D,2,FALSE)</f>
        <v/>
      </c>
      <c r="D22">
        <f>VLOOKUP(B22,Observacoes!$A:$D,3,FALSE)</f>
        <v/>
      </c>
      <c r="E22">
        <f>VLOOKUP(B22,Observacoes!$A:$D,4,FALSE)</f>
        <v/>
      </c>
      <c r="F22" t="inlineStr">
        <is>
          <t>Aumento no tempo de ventilacao mecanica predispondo a pneumonia associada a ventilacao mecanica</t>
        </is>
      </c>
      <c r="G22" t="inlineStr">
        <is>
          <t>Criancas internadas na UTI</t>
        </is>
      </c>
      <c r="H22" t="inlineStr">
        <is>
          <t>Reduzir o tempo de intubacao diminuindo a chance de pav.</t>
        </is>
      </c>
      <c r="I22" t="inlineStr">
        <is>
          <t>Uma forma de reduzir em % a incidencia de PAV em criancas reintubadas</t>
        </is>
      </c>
      <c r="J22" t="inlineStr">
        <is>
          <t>Respiratorio</t>
        </is>
      </c>
      <c r="K22" t="inlineStr">
        <is>
          <t>Mariana</t>
        </is>
      </c>
    </row>
    <row r="23">
      <c r="A23" t="inlineStr">
        <is>
          <t>NEED-022</t>
        </is>
      </c>
      <c r="B23" t="inlineStr">
        <is>
          <t>OBS-082</t>
        </is>
      </c>
      <c r="C23">
        <f>VLOOKUP(B23,Observacoes!$A:$D,2,FALSE)</f>
        <v/>
      </c>
      <c r="D23">
        <f>VLOOKUP(B23,Observacoes!$A:$D,3,FALSE)</f>
        <v/>
      </c>
      <c r="E23">
        <f>VLOOKUP(B23,Observacoes!$A:$D,4,FALSE)</f>
        <v/>
      </c>
      <c r="F23" t="inlineStr">
        <is>
          <t>Maior chance de arritmias e complicacoes cardiovasculares.</t>
        </is>
      </c>
      <c r="G23" t="inlineStr">
        <is>
          <t>Criancas hospitalizadas</t>
        </is>
      </c>
      <c r="H23" t="inlineStr">
        <is>
          <t>Reduzir o surgimento de arritimias deflagradas pelo estresse e agitacao</t>
        </is>
      </c>
      <c r="I23" t="inlineStr">
        <is>
          <t>Uma forma de Reduzir em x%  a incidencia de arritimias deflagradas pelo estresse e agitacao em ambiente de uti pediatrica</t>
        </is>
      </c>
      <c r="J23" t="inlineStr">
        <is>
          <t>Agitacao; Estresse</t>
        </is>
      </c>
      <c r="K23" t="inlineStr">
        <is>
          <t>Mariana</t>
        </is>
      </c>
    </row>
    <row r="24">
      <c r="A24" t="inlineStr">
        <is>
          <t>NEED-023</t>
        </is>
      </c>
      <c r="B24" t="inlineStr">
        <is>
          <t>OBS-082</t>
        </is>
      </c>
      <c r="C24">
        <f>VLOOKUP(B24,Observacoes!$A:$D,2,FALSE)</f>
        <v/>
      </c>
      <c r="D24">
        <f>VLOOKUP(B24,Observacoes!$A:$D,3,FALSE)</f>
        <v/>
      </c>
      <c r="E24">
        <f>VLOOKUP(B24,Observacoes!$A:$D,4,FALSE)</f>
        <v/>
      </c>
      <c r="F24" t="inlineStr">
        <is>
          <t>Maior Risco de Lesoes Fisicas (maior risco de quedas e de ferimento num ambiente com muitas aparelhagens)</t>
        </is>
      </c>
      <c r="G24" t="inlineStr">
        <is>
          <t>Criancas hospitalizadas</t>
        </is>
      </c>
      <c r="H24" t="inlineStr">
        <is>
          <t>Reduzir riscos de lesoes fisicas</t>
        </is>
      </c>
      <c r="I24" t="inlineStr">
        <is>
          <t>Uma forma de diminuir traumas e lesoes fisicas causadas por agitacao em ambiente de uti pediatrica para reduzir complicacoes relacionadas a dispositivos em x%</t>
        </is>
      </c>
      <c r="J24" t="inlineStr">
        <is>
          <t>Agitacao; Estresse</t>
        </is>
      </c>
      <c r="K24" t="inlineStr">
        <is>
          <t>Mariana</t>
        </is>
      </c>
    </row>
    <row r="25">
      <c r="A25" t="inlineStr">
        <is>
          <t>NEED-024</t>
        </is>
      </c>
      <c r="B25" t="inlineStr">
        <is>
          <t>OBS-078</t>
        </is>
      </c>
      <c r="C25">
        <f>VLOOKUP(B25,Observacoes!$A:$D,2,FALSE)</f>
        <v/>
      </c>
      <c r="D25">
        <f>VLOOKUP(B25,Observacoes!$A:$D,3,FALSE)</f>
        <v/>
      </c>
      <c r="E25">
        <f>VLOOKUP(B25,Observacoes!$A:$D,4,FALSE)</f>
        <v/>
      </c>
      <c r="F25" t="inlineStr">
        <is>
          <t>Favorece deslocamento do dispositivo causando extubacao acidental</t>
        </is>
      </c>
      <c r="G25" t="inlineStr">
        <is>
          <t>Criancas internadas na UTI</t>
        </is>
      </c>
      <c r="H25" t="inlineStr">
        <is>
          <t>Reduzir a incidencia de extubacao acidental devido a ma fixacao do tubo</t>
        </is>
      </c>
      <c r="I25" t="inlineStr">
        <is>
          <t>Uma forma de  reduzir em % extubacao acidental devido a ma fixacao do tubo</t>
        </is>
      </c>
      <c r="J25" t="inlineStr">
        <is>
          <t>Respiratorio</t>
        </is>
      </c>
      <c r="K25" t="inlineStr">
        <is>
          <t>Mariana</t>
        </is>
      </c>
    </row>
    <row r="26">
      <c r="A26" t="inlineStr">
        <is>
          <t>NEED-025</t>
        </is>
      </c>
      <c r="B26" t="inlineStr">
        <is>
          <t>OBS-078</t>
        </is>
      </c>
      <c r="C26">
        <f>VLOOKUP(B26,Observacoes!$A:$D,2,FALSE)</f>
        <v/>
      </c>
      <c r="D26">
        <f>VLOOKUP(B26,Observacoes!$A:$D,3,FALSE)</f>
        <v/>
      </c>
      <c r="E26">
        <f>VLOOKUP(B26,Observacoes!$A:$D,4,FALSE)</f>
        <v/>
      </c>
      <c r="F26" t="inlineStr">
        <is>
          <t>Fixacao inadequada pode machucar a pele da crianca</t>
        </is>
      </c>
      <c r="G26" t="inlineStr">
        <is>
          <t>Criancas internadas na UTI</t>
        </is>
      </c>
      <c r="H26" t="inlineStr">
        <is>
          <t>Reduzir a incidencia de lesoes / exulceracoes por fixadores de COT</t>
        </is>
      </c>
      <c r="I26" t="inlineStr">
        <is>
          <t>Uma forma de  reduzir em % lesoes cutaneas por fixadores de canula</t>
        </is>
      </c>
      <c r="J26" t="inlineStr">
        <is>
          <t>Derme</t>
        </is>
      </c>
      <c r="K26" t="inlineStr">
        <is>
          <t>Mariana</t>
        </is>
      </c>
    </row>
    <row r="27">
      <c r="A27" t="inlineStr">
        <is>
          <t>NEED-026</t>
        </is>
      </c>
      <c r="B27" t="inlineStr">
        <is>
          <t>OBS-088</t>
        </is>
      </c>
      <c r="C27">
        <f>VLOOKUP(B27,Observacoes!$A:$D,2,FALSE)</f>
        <v/>
      </c>
      <c r="D27">
        <f>VLOOKUP(B27,Observacoes!$A:$D,3,FALSE)</f>
        <v/>
      </c>
      <c r="E27">
        <f>VLOOKUP(B27,Observacoes!$A:$D,4,FALSE)</f>
        <v/>
      </c>
      <c r="F27" t="inlineStr">
        <is>
          <t>Machuca pele da crianca</t>
        </is>
      </c>
      <c r="G27" t="inlineStr">
        <is>
          <t>Criancas hospitalizadas</t>
        </is>
      </c>
      <c r="H27" t="inlineStr">
        <is>
          <t>Reduzir a incidencia de lesoes / exulceracoes por cola de eletroencefalograma</t>
        </is>
      </c>
      <c r="I27" t="inlineStr">
        <is>
          <t>Uma forma de reduzir em % lesoes cutaneas por eletroencefalograma</t>
        </is>
      </c>
      <c r="J27" t="inlineStr">
        <is>
          <t>Derme</t>
        </is>
      </c>
      <c r="K27" t="inlineStr">
        <is>
          <t>Mariana</t>
        </is>
      </c>
    </row>
    <row r="28">
      <c r="A28" t="inlineStr">
        <is>
          <t>NEED-027</t>
        </is>
      </c>
      <c r="B28" t="inlineStr">
        <is>
          <t>OBS-088</t>
        </is>
      </c>
      <c r="C28">
        <f>VLOOKUP(B28,Observacoes!$A:$D,2,FALSE)</f>
        <v/>
      </c>
      <c r="D28">
        <f>VLOOKUP(B28,Observacoes!$A:$D,3,FALSE)</f>
        <v/>
      </c>
      <c r="E28">
        <f>VLOOKUP(B28,Observacoes!$A:$D,4,FALSE)</f>
        <v/>
      </c>
      <c r="F28" t="inlineStr">
        <is>
          <t>Pode causar dermatite de contato alergica.</t>
        </is>
      </c>
      <c r="G28" t="inlineStr">
        <is>
          <t>Criancas hospitalizadas</t>
        </is>
      </c>
      <c r="H28" t="inlineStr">
        <is>
          <t>Reduzir a incidencia de dermatite de contato alergica a cola do eletroencefalograma</t>
        </is>
      </c>
      <c r="I28" t="inlineStr">
        <is>
          <t>Uma forma de reduzir em % dermatite de contato alergica a cola do eletroencefalograma</t>
        </is>
      </c>
      <c r="J28" t="inlineStr">
        <is>
          <t>Derme</t>
        </is>
      </c>
      <c r="K28" t="inlineStr">
        <is>
          <t>Mariana</t>
        </is>
      </c>
    </row>
    <row r="29">
      <c r="A29" t="inlineStr">
        <is>
          <t>NEED-028</t>
        </is>
      </c>
      <c r="B29" t="inlineStr">
        <is>
          <t>OBS-088</t>
        </is>
      </c>
      <c r="C29">
        <f>VLOOKUP(B29,Observacoes!$A:$D,2,FALSE)</f>
        <v/>
      </c>
      <c r="D29">
        <f>VLOOKUP(B29,Observacoes!$A:$D,3,FALSE)</f>
        <v/>
      </c>
      <c r="E29">
        <f>VLOOKUP(B29,Observacoes!$A:$D,4,FALSE)</f>
        <v/>
      </c>
      <c r="F29" t="inlineStr">
        <is>
          <t>Favorece alopecia local (por trauma)</t>
        </is>
      </c>
      <c r="G29" t="inlineStr">
        <is>
          <t>Criancas hospitalizadas</t>
        </is>
      </c>
      <c r="H29" t="inlineStr">
        <is>
          <t>Reduzir a incidencia de alopecia por tracao/ arranque relacionados a retidada da cola de eletroencefalograma</t>
        </is>
      </c>
      <c r="I29" t="inlineStr">
        <is>
          <t>Uma forma de  Reduzir EM % a incidencia de alopecia por pressao relacionados ao eletroencefalograma continuo (API-PIA)</t>
        </is>
      </c>
      <c r="J29" t="inlineStr">
        <is>
          <t>Derme</t>
        </is>
      </c>
      <c r="K29" t="inlineStr">
        <is>
          <t>Mariana</t>
        </is>
      </c>
    </row>
    <row r="30">
      <c r="A30" t="inlineStr">
        <is>
          <t>NEED-029</t>
        </is>
      </c>
      <c r="B30" t="inlineStr">
        <is>
          <t>OBS-091</t>
        </is>
      </c>
      <c r="C30">
        <f>VLOOKUP(B30,Observacoes!$A:$D,2,FALSE)</f>
        <v/>
      </c>
      <c r="D30">
        <f>VLOOKUP(B30,Observacoes!$A:$D,3,FALSE)</f>
        <v/>
      </c>
      <c r="E30">
        <f>VLOOKUP(B30,Observacoes!$A:$D,4,FALSE)</f>
        <v/>
      </c>
      <c r="F30" t="inlineStr">
        <is>
          <t>Caterer nao fixado aumenta chande de perda de cateteres e necessidade de nova puncao</t>
        </is>
      </c>
      <c r="G30" t="inlineStr">
        <is>
          <t>Criancas hospitalizadas</t>
        </is>
      </c>
      <c r="H30" t="inlineStr">
        <is>
          <t>Reduzir as taxas de perda de cateter venoso causadas pelas maos da crianca</t>
        </is>
      </c>
      <c r="I30" t="inlineStr">
        <is>
          <t>Uma forma de fixar cateter e reduzir  EM % as taxas de perda de cateter venoso causada pelos movimentos da crianca</t>
        </is>
      </c>
      <c r="J30" t="inlineStr">
        <is>
          <t>Cateter</t>
        </is>
      </c>
      <c r="K30" t="inlineStr">
        <is>
          <t>Mariana</t>
        </is>
      </c>
    </row>
    <row r="31">
      <c r="A31" t="inlineStr">
        <is>
          <t>NEED-030</t>
        </is>
      </c>
      <c r="C31" t="n">
        <v>3</v>
      </c>
      <c r="D31" t="inlineStr">
        <is>
          <t>Fixacao e cateteres</t>
        </is>
      </c>
      <c r="E31" t="inlineStr">
        <is>
          <t>nao ha uma fixacao de Dreno de torax especifica para criancas (algo feito e montado com tensoplast ( pode machucar)</t>
        </is>
      </c>
      <c r="F31" t="inlineStr">
        <is>
          <t>Causa exulceracoes e lesao por pressao.</t>
        </is>
      </c>
      <c r="G31" t="inlineStr">
        <is>
          <t>Criancas hospitalizadas</t>
        </is>
      </c>
      <c r="H31" t="inlineStr">
        <is>
          <t>A falta de fixacao voltada pra criancas obriga a fazer dispositivo nao padrao que pode lesionar a pele do paciente.</t>
        </is>
      </c>
      <c r="I31" t="inlineStr">
        <is>
          <t>Uma forma de fixar dreno em criancas reduzindo as lesoes cutaneas pela fixacao em x%.</t>
        </is>
      </c>
      <c r="J31" t="inlineStr">
        <is>
          <t>Derme</t>
        </is>
      </c>
      <c r="K31" t="inlineStr">
        <is>
          <t>Mariana</t>
        </is>
      </c>
    </row>
    <row r="32">
      <c r="A32" t="inlineStr">
        <is>
          <t>NEED-031</t>
        </is>
      </c>
      <c r="B32" t="inlineStr">
        <is>
          <t>OBS-076</t>
        </is>
      </c>
      <c r="C32">
        <f>VLOOKUP(B32,Observacoes!$A:$D,2,FALSE)</f>
        <v/>
      </c>
      <c r="D32">
        <f>VLOOKUP(B32,Observacoes!$A:$D,3,FALSE)</f>
        <v/>
      </c>
      <c r="E32">
        <f>VLOOKUP(B32,Observacoes!$A:$D,4,FALSE)</f>
        <v/>
      </c>
      <c r="F32" t="inlineStr">
        <is>
          <t>Erro de medicacao</t>
        </is>
      </c>
      <c r="G32" t="inlineStr">
        <is>
          <t>Criancas hospitalizadas</t>
        </is>
      </c>
      <c r="H32" t="inlineStr">
        <is>
          <t>Reduzir os efeitos adversos e a necessidade de intervir no paciente para resolve-los</t>
        </is>
      </c>
      <c r="I32" t="inlineStr">
        <is>
          <t>Uma forma de reduzir erros de medicacao graves evitaveis em pacientes pediatricos hospitalizados com o objetivo de reduzir os custos hospitalares associados em x% (efeitos adversos diretos, reacoes alergicas, danos organicos, resistencia a antibioticos, danos cognitivos ou do desenvolvimento, impacto emocional e psicologico)</t>
        </is>
      </c>
      <c r="J32" t="inlineStr">
        <is>
          <t>Medicamentos</t>
        </is>
      </c>
      <c r="K32" t="inlineStr">
        <is>
          <t>Marta</t>
        </is>
      </c>
    </row>
    <row r="33">
      <c r="A33" t="inlineStr">
        <is>
          <t>NEED-032</t>
        </is>
      </c>
      <c r="B33" t="inlineStr">
        <is>
          <t>OBS-083</t>
        </is>
      </c>
      <c r="C33">
        <f>VLOOKUP(B33,Observacoes!$A:$D,2,FALSE)</f>
        <v/>
      </c>
      <c r="D33">
        <f>VLOOKUP(B33,Observacoes!$A:$D,3,FALSE)</f>
        <v/>
      </c>
      <c r="E33">
        <f>VLOOKUP(B33,Observacoes!$A:$D,4,FALSE)</f>
        <v/>
      </c>
      <c r="F33" t="inlineStr">
        <is>
          <t>Efeitos colaterais do uso de sedativos</t>
        </is>
      </c>
      <c r="G33" t="inlineStr">
        <is>
          <t>Criancas internadas na UTI</t>
        </is>
      </c>
      <c r="H33" t="inlineStr">
        <is>
          <t>Reduzir os efeitos adversos e a necessidade de intervir no paciente para resolve-los</t>
        </is>
      </c>
      <c r="I33" t="inlineStr">
        <is>
          <t>Uma forma de reduzir o uso de sedacao em pacientes pediatricos internados na UTI com o objetivo de reduzir a morbidade em X% (pneumonia, ulceras de pressao, miopatia, trombose venosa profunda)</t>
        </is>
      </c>
      <c r="J33" t="inlineStr">
        <is>
          <t>Medicamentos</t>
        </is>
      </c>
      <c r="K33" t="inlineStr">
        <is>
          <t>Marta</t>
        </is>
      </c>
    </row>
    <row r="34">
      <c r="A34" t="inlineStr">
        <is>
          <t>NEED-033</t>
        </is>
      </c>
      <c r="C34" t="n">
        <v>3</v>
      </c>
      <c r="D34" t="inlineStr">
        <is>
          <t>Medicamentos</t>
        </is>
      </c>
      <c r="E34" t="inlineStr">
        <is>
          <t>nao ha uma forma de diferenciar entre tolerancia a droga/ abstinencia x delirium em criancas que estao em uso prolongado de sedativos. Usam escalas comportamentais, mas as criancas puntuam os dois. Na pratica tratam as duas coisas.</t>
        </is>
      </c>
      <c r="F34" t="inlineStr">
        <is>
          <t>Nao ha diagnostico diferencial entre tolerancia a droga e delirium</t>
        </is>
      </c>
      <c r="G34" t="inlineStr">
        <is>
          <t>Criancas internadas na UTI</t>
        </is>
      </c>
      <c r="H34" t="inlineStr">
        <is>
          <t>Reduzir os efeitos adversos associados a um erro de diagnostico</t>
        </is>
      </c>
      <c r="I34" t="inlineStr">
        <is>
          <t>Uma forma de diferenciar entre delirum e tolerancia a droga em pacientes pediatricos sedados internados em UTI com quadro de agitacao com o objetivo de reduzir hipersedacao em X%</t>
        </is>
      </c>
      <c r="J34" t="inlineStr">
        <is>
          <t>Medicamentos</t>
        </is>
      </c>
      <c r="K34" t="inlineStr">
        <is>
          <t>Marta</t>
        </is>
      </c>
    </row>
    <row r="35">
      <c r="A35" t="inlineStr">
        <is>
          <t>NEED-034</t>
        </is>
      </c>
      <c r="C35" t="n">
        <v>3</v>
      </c>
      <c r="D35" t="inlineStr">
        <is>
          <t>Medicamentos</t>
        </is>
      </c>
      <c r="E35" t="inlineStr">
        <is>
          <t>nao ha uma forma de diferenciar entre tolerancia a droga/ abstinencia x delirium em criancas que estao em uso prolongado de sedativos. Usam escalas comportamentais, mas as criancas puntuam os dois. Na pratica tratam as duas coisas.</t>
        </is>
      </c>
      <c r="F35" t="inlineStr">
        <is>
          <t>Nao ha diagnostico diferencial entre tolerancia a droga e delirium</t>
        </is>
      </c>
      <c r="G35" t="inlineStr">
        <is>
          <t>Criancas internadas na UTI</t>
        </is>
      </c>
      <c r="H35" t="inlineStr">
        <is>
          <t>Reduzir os efeitos adversos associados a um erro de diagnostico</t>
        </is>
      </c>
      <c r="I35" t="inlineStr">
        <is>
          <t>Uma forma de diferenciar entre delirum e tolerancia a droga em pacientes pediatricos sedados internados em UTI com quadro de agitacao com o objetivo de reduzir intervencoes innecesarias em X%</t>
        </is>
      </c>
      <c r="J35" t="inlineStr">
        <is>
          <t>Medicamentos</t>
        </is>
      </c>
      <c r="K35" t="inlineStr">
        <is>
          <t>Marta</t>
        </is>
      </c>
    </row>
    <row r="36">
      <c r="A36" t="inlineStr">
        <is>
          <t>NEED-035</t>
        </is>
      </c>
      <c r="B36" t="inlineStr">
        <is>
          <t>OBS-089</t>
        </is>
      </c>
      <c r="C36">
        <f>VLOOKUP(B36,Observacoes!$A:$D,2,FALSE)</f>
        <v/>
      </c>
      <c r="D36">
        <f>VLOOKUP(B36,Observacoes!$A:$D,3,FALSE)</f>
        <v/>
      </c>
      <c r="E36">
        <f>VLOOKUP(B36,Observacoes!$A:$D,4,FALSE)</f>
        <v/>
      </c>
      <c r="F36" t="inlineStr">
        <is>
          <t>Nao ha metodo eficaz para titulacao de niveis de sedacao</t>
        </is>
      </c>
      <c r="G36" t="inlineStr">
        <is>
          <t>Criancas internadas na UTI</t>
        </is>
      </c>
      <c r="H36" t="inlineStr">
        <is>
          <t>Reduzir a morbidade associada a niveis de sedacao subotimos</t>
        </is>
      </c>
      <c r="I36" t="inlineStr">
        <is>
          <t>Uma forma de controlar o nivel de sedacao em pacientes pediatricos internados na UTI  para reduzir a morbidade em X% (pneumonia, ulceras de pressao, miopatia, trombose venosa profunda, delirium)</t>
        </is>
      </c>
      <c r="J36" t="inlineStr">
        <is>
          <t>Medicamentos</t>
        </is>
      </c>
      <c r="K36" t="inlineStr">
        <is>
          <t>Marta</t>
        </is>
      </c>
    </row>
    <row r="37">
      <c r="A37" t="inlineStr">
        <is>
          <t>NEED-036</t>
        </is>
      </c>
      <c r="C37" t="n">
        <v>3</v>
      </c>
      <c r="D37" t="inlineStr">
        <is>
          <t>Medicamentos</t>
        </is>
      </c>
      <c r="E37" t="inlineStr">
        <is>
          <t>Reducao de mobilidade por conta de infusao de medicamentos por muito tempo</t>
        </is>
      </c>
      <c r="F37" t="inlineStr">
        <is>
          <t>Perda de liberdade de movimento causa atrofia e perda muscular.</t>
        </is>
      </c>
      <c r="G37" t="inlineStr">
        <is>
          <t>Criancas hospitalizadas</t>
        </is>
      </c>
      <c r="H37" t="inlineStr">
        <is>
          <t>Reducao de mobilidade causa Perda de Forca Muscular e Atrofia</t>
        </is>
      </c>
      <c r="I37" t="inlineStr">
        <is>
          <t>Uma forma melhorar a administracao de medicamentos com o objetivo de melhorar mobilidade</t>
        </is>
      </c>
      <c r="J37" t="inlineStr">
        <is>
          <t>Medicamentos</t>
        </is>
      </c>
      <c r="K37" t="inlineStr">
        <is>
          <t>Mariana</t>
        </is>
      </c>
    </row>
    <row r="38">
      <c r="A38" t="inlineStr">
        <is>
          <t>NEED-037</t>
        </is>
      </c>
      <c r="B38" t="inlineStr">
        <is>
          <t>OBS-073</t>
        </is>
      </c>
      <c r="C38">
        <f>VLOOKUP(B38,Observacoes!$A:$D,2,FALSE)</f>
        <v/>
      </c>
      <c r="D38">
        <f>VLOOKUP(B38,Observacoes!$A:$D,3,FALSE)</f>
        <v/>
      </c>
      <c r="E38">
        <f>VLOOKUP(B38,Observacoes!$A:$D,4,FALSE)</f>
        <v/>
      </c>
      <c r="F38" t="inlineStr">
        <is>
          <t>Favorece o surgimento de Infeccao da Corrente Sanguinea Associada ao Cateter Central (CLABSI)</t>
        </is>
      </c>
      <c r="G38" t="inlineStr">
        <is>
          <t>Criancas hospitalizadas</t>
        </is>
      </c>
      <c r="H38" t="inlineStr">
        <is>
          <t>Reduzir infeccao de cateter</t>
        </is>
      </c>
      <c r="I38" t="inlineStr">
        <is>
          <t>Uma forma de reduzir a administracao de medicamentos por via intravenosa reduzindo a taxa de infeccao de cateter em % ( cateter central e periferico, infeccao sistemica)</t>
        </is>
      </c>
      <c r="J38" t="inlineStr">
        <is>
          <t>Medicamentos</t>
        </is>
      </c>
      <c r="K38" t="inlineStr">
        <is>
          <t>Mariana</t>
        </is>
      </c>
    </row>
    <row r="39">
      <c r="A39" t="inlineStr">
        <is>
          <t>NEED-038</t>
        </is>
      </c>
      <c r="B39" t="inlineStr">
        <is>
          <t>OBS-073</t>
        </is>
      </c>
      <c r="C39">
        <f>VLOOKUP(B39,Observacoes!$A:$D,2,FALSE)</f>
        <v/>
      </c>
      <c r="D39">
        <f>VLOOKUP(B39,Observacoes!$A:$D,3,FALSE)</f>
        <v/>
      </c>
      <c r="E39">
        <f>VLOOKUP(B39,Observacoes!$A:$D,4,FALSE)</f>
        <v/>
      </c>
      <c r="F39" t="inlineStr">
        <is>
          <t>A administracao de grandes quantidades de emdicamentos intravenosos aumenta o risco de flebite e tromboflebite</t>
        </is>
      </c>
      <c r="G39" t="inlineStr">
        <is>
          <t>Criancas hospitalizadas</t>
        </is>
      </c>
      <c r="H39" t="inlineStr">
        <is>
          <t>Reduzir as taxas de flebite e tromboflebite em criancas internadas na uti</t>
        </is>
      </c>
      <c r="I39" t="inlineStr">
        <is>
          <t>Uma forma de reduzir a administracao de medicamentos por via intravenosa periferica reduzindo a taxa tromboflebite/flebite em % (local)</t>
        </is>
      </c>
      <c r="J39" t="inlineStr">
        <is>
          <t>Medicamentos</t>
        </is>
      </c>
      <c r="K39" t="inlineStr">
        <is>
          <t>Mariana</t>
        </is>
      </c>
    </row>
    <row r="40">
      <c r="A40" t="inlineStr">
        <is>
          <t>NEED-039</t>
        </is>
      </c>
      <c r="B40" t="inlineStr">
        <is>
          <t>OBS-077</t>
        </is>
      </c>
      <c r="C40">
        <f>VLOOKUP(B40,Observacoes!$A:$D,2,FALSE)</f>
        <v/>
      </c>
      <c r="D40">
        <f>VLOOKUP(B40,Observacoes!$A:$D,3,FALSE)</f>
        <v/>
      </c>
      <c r="E40">
        <f>VLOOKUP(B40,Observacoes!$A:$D,4,FALSE)</f>
        <v/>
      </c>
      <c r="F40" t="inlineStr">
        <is>
          <t>Falta de movimento causa morbidade</t>
        </is>
      </c>
      <c r="G40" t="inlineStr">
        <is>
          <t>Criancas hospitalizadas e domiciliares</t>
        </is>
      </c>
      <c r="H40" t="inlineStr">
        <is>
          <t>Reduzir riscos associados a falta de mobilidade</t>
        </is>
      </c>
      <c r="I40" t="inlineStr">
        <is>
          <t>Uma forma de dializar em pacientes hospitalares e domiciliares que permita reduzir os riscos associados a imobilidade em X% (ulceras de pressao, miopatia, trombose venosa profunda).</t>
        </is>
      </c>
      <c r="J40" t="inlineStr">
        <is>
          <t>Derme</t>
        </is>
      </c>
      <c r="K40" t="inlineStr">
        <is>
          <t>Marta</t>
        </is>
      </c>
    </row>
    <row r="41">
      <c r="A41" t="inlineStr">
        <is>
          <t>NEED-040</t>
        </is>
      </c>
      <c r="B41" t="inlineStr">
        <is>
          <t>OBS-081</t>
        </is>
      </c>
      <c r="C41">
        <f>VLOOKUP(B41,Observacoes!$A:$D,2,FALSE)</f>
        <v/>
      </c>
      <c r="D41">
        <f>VLOOKUP(B41,Observacoes!$A:$D,3,FALSE)</f>
        <v/>
      </c>
      <c r="E41">
        <f>VLOOKUP(B41,Observacoes!$A:$D,4,FALSE)</f>
        <v/>
      </c>
      <c r="F41" t="inlineStr">
        <is>
          <t>Falta de movimento causa deterioracao no desenvolvimento cognitivo e motor</t>
        </is>
      </c>
      <c r="G41" t="inlineStr">
        <is>
          <t>Criancas hospitalizadas de 0 a 1 ano</t>
        </is>
      </c>
      <c r="H41" t="inlineStr">
        <is>
          <t>Reduzir efeitos negativos no desenvolvimento cognitivo e motor</t>
        </is>
      </c>
      <c r="I41" t="inlineStr">
        <is>
          <t>Uma forma de melhorar a mobilidade em pacientes pediatricos hospitalizados entre 0 e 1 ano para reduzir o atraso no desenvolvimento cognitivo e motor em X%</t>
        </is>
      </c>
      <c r="J41" t="inlineStr">
        <is>
          <t>Mobilidade</t>
        </is>
      </c>
      <c r="K41" t="inlineStr">
        <is>
          <t>Marta</t>
        </is>
      </c>
    </row>
    <row r="42">
      <c r="A42" t="inlineStr">
        <is>
          <t>NEED-041</t>
        </is>
      </c>
      <c r="B42" t="inlineStr">
        <is>
          <t>OBS-067</t>
        </is>
      </c>
      <c r="C42">
        <f>VLOOKUP(B42,Observacoes!$A:$D,2,FALSE)</f>
        <v/>
      </c>
      <c r="D42">
        <f>VLOOKUP(B42,Observacoes!$A:$D,3,FALSE)</f>
        <v/>
      </c>
      <c r="E42">
        <f>VLOOKUP(B42,Observacoes!$A:$D,4,FALSE)</f>
        <v/>
      </c>
      <c r="F42" t="inlineStr">
        <is>
          <t>Atraso entre a medida real da saturacao de oxigenio e a exibicao na tela</t>
        </is>
      </c>
      <c r="G42" t="inlineStr">
        <is>
          <t>Criancas hospitalizadas</t>
        </is>
      </c>
      <c r="H42" t="inlineStr">
        <is>
          <t>Reduzir falta ou atraso na deteccao de episodios de insuficiencia respiratoria</t>
        </is>
      </c>
      <c r="I42" t="inlineStr">
        <is>
          <t>Uma forma de melhorar as medidas de saturacao de oxigenio em pacientes pediatricos hospitalizados com o objetivo de reduzir o tempo de demora em identificacao de hipoxemia X%</t>
        </is>
      </c>
      <c r="J42" t="inlineStr">
        <is>
          <t>Respiratorio</t>
        </is>
      </c>
      <c r="K42" t="inlineStr">
        <is>
          <t>Marta</t>
        </is>
      </c>
    </row>
    <row r="43">
      <c r="A43" t="inlineStr">
        <is>
          <t>NEED-042</t>
        </is>
      </c>
      <c r="B43" t="inlineStr">
        <is>
          <t>OBS-065</t>
        </is>
      </c>
      <c r="C43">
        <f>VLOOKUP(B43,Observacoes!$A:$D,2,FALSE)</f>
        <v/>
      </c>
      <c r="D43">
        <f>VLOOKUP(B43,Observacoes!$A:$D,3,FALSE)</f>
        <v/>
      </c>
      <c r="E43">
        <f>VLOOKUP(B43,Observacoes!$A:$D,4,FALSE)</f>
        <v/>
      </c>
      <c r="F43" t="inlineStr">
        <is>
          <t>Atraso no diagnostico de bronquiolite gera morbidade</t>
        </is>
      </c>
      <c r="G43" t="inlineStr">
        <is>
          <t>Criancas hospitalizadas e domiciliares</t>
        </is>
      </c>
      <c r="H43" t="inlineStr">
        <is>
          <t>Reduzir atraso no diagnostico e custo associado na gestao das morbidades provocadas pelo mesmo</t>
        </is>
      </c>
      <c r="I43" t="inlineStr">
        <is>
          <t>Uma forma de melhorar o diagnostico de bronqueolite em pacientes pediatricos hospitalizados e domiciliares con el objetivo de antecipar o cuidado (reducir internacao) em um %X</t>
        </is>
      </c>
      <c r="J43" t="inlineStr">
        <is>
          <t>Respiratorio</t>
        </is>
      </c>
      <c r="K43" t="inlineStr">
        <is>
          <t>Marta</t>
        </is>
      </c>
    </row>
    <row r="44">
      <c r="A44" t="inlineStr">
        <is>
          <t>NEED-043</t>
        </is>
      </c>
      <c r="C44" t="n">
        <v>3</v>
      </c>
      <c r="D44" t="inlineStr">
        <is>
          <t>Patologias</t>
        </is>
      </c>
      <c r="E44" t="inlineStr">
        <is>
          <t>Sarcopenia infantil</t>
        </is>
      </c>
      <c r="F44" t="inlineStr">
        <is>
          <t>Sarcopenia infantil</t>
        </is>
      </c>
      <c r="G44" t="inlineStr">
        <is>
          <t>Criancas hospitalizadas</t>
        </is>
      </c>
      <c r="H44" t="inlineStr">
        <is>
          <t>Reduzir morbidades associadas</t>
        </is>
      </c>
      <c r="I44" t="inlineStr">
        <is>
          <t>Uma forma de reduzir a imobilidade infantil en pacientes pediatricos hospitalizados com el objetivo de reducir a sarcopenia em um X%</t>
        </is>
      </c>
      <c r="J44" t="inlineStr">
        <is>
          <t>Mobilidade</t>
        </is>
      </c>
      <c r="K44" t="inlineStr">
        <is>
          <t>Marta</t>
        </is>
      </c>
    </row>
    <row r="45">
      <c r="A45" t="inlineStr">
        <is>
          <t>NEED-044</t>
        </is>
      </c>
      <c r="C45" t="n">
        <v>3</v>
      </c>
      <c r="D45" t="inlineStr">
        <is>
          <t>Patologias</t>
        </is>
      </c>
      <c r="E45" t="inlineStr">
        <is>
          <t>Crises convulsivas</t>
        </is>
      </c>
      <c r="F45" t="inlineStr">
        <is>
          <t>Imprevisibilidade das crises
 Perca de consciencia</t>
        </is>
      </c>
      <c r="G45" t="inlineStr">
        <is>
          <t>criancas</t>
        </is>
      </c>
      <c r="H45" t="inlineStr">
        <is>
          <t>inibir crises em x%</t>
        </is>
      </c>
      <c r="I45" t="inlineStr">
        <is>
          <t>Uma nova forma de aumentar a previsibilidade das crises convulsivas em pacientes pediatricos com o objetivo de inibir crises em x%</t>
        </is>
      </c>
      <c r="J45" t="inlineStr">
        <is>
          <t>Monitoramento</t>
        </is>
      </c>
      <c r="K45" t="inlineStr">
        <is>
          <t>Vitor</t>
        </is>
      </c>
    </row>
    <row r="46">
      <c r="A46" t="inlineStr">
        <is>
          <t>NEED-045</t>
        </is>
      </c>
      <c r="C46" t="n">
        <v>3</v>
      </c>
      <c r="D46" t="inlineStr">
        <is>
          <t>Patologias</t>
        </is>
      </c>
      <c r="E46" t="inlineStr">
        <is>
          <t>Enterocolite necrotizando</t>
        </is>
      </c>
      <c r="F46" t="inlineStr">
        <is>
          <t>Perca da funcao intestinal</t>
        </is>
      </c>
      <c r="G46" t="inlineStr">
        <is>
          <t>recem-nascidos</t>
        </is>
      </c>
      <c r="H46" t="inlineStr">
        <is>
          <t>reduzir chance de necrose em x%</t>
        </is>
      </c>
      <c r="I46" t="inlineStr">
        <is>
          <t>Uma forma de reduzir a perca de funcao intestinal em pacientes pediatricos com o objetivo de reduzir a chance de necrose em x%</t>
        </is>
      </c>
      <c r="J46" t="inlineStr">
        <is>
          <t>Derme</t>
        </is>
      </c>
      <c r="K46" t="inlineStr">
        <is>
          <t>Vitor</t>
        </is>
      </c>
    </row>
    <row r="47">
      <c r="A47" t="inlineStr">
        <is>
          <t>NEED-046</t>
        </is>
      </c>
      <c r="B47" t="inlineStr">
        <is>
          <t>OBS-060</t>
        </is>
      </c>
      <c r="C47">
        <f>VLOOKUP(B47,Observacoes!$A:$D,2,FALSE)</f>
        <v/>
      </c>
      <c r="D47">
        <f>VLOOKUP(B47,Observacoes!$A:$D,3,FALSE)</f>
        <v/>
      </c>
      <c r="E47">
        <f>VLOOKUP(B47,Observacoes!$A:$D,4,FALSE)</f>
        <v/>
      </c>
      <c r="F47" t="inlineStr">
        <is>
          <t>Agitacao
 Tamanho agulha
 Baixa margem para erro</t>
        </is>
      </c>
      <c r="G47" t="inlineStr">
        <is>
          <t>criancas</t>
        </is>
      </c>
      <c r="H47" t="inlineStr">
        <is>
          <t>reduzir eventos adversos em x%</t>
        </is>
      </c>
      <c r="I47" t="inlineStr">
        <is>
          <t>Uma forma de reduzir acidentes de puncao em pacientes pediatricos com o objetivo de reduzir eventos adversos em x%</t>
        </is>
      </c>
      <c r="J47" t="inlineStr">
        <is>
          <t>Cateter</t>
        </is>
      </c>
      <c r="K47" t="inlineStr">
        <is>
          <t>Vitor</t>
        </is>
      </c>
    </row>
    <row r="48">
      <c r="A48" t="inlineStr">
        <is>
          <t>NEED-047</t>
        </is>
      </c>
      <c r="B48" t="inlineStr">
        <is>
          <t>OBS-061</t>
        </is>
      </c>
      <c r="C48">
        <f>VLOOKUP(B48,Observacoes!$A:$D,2,FALSE)</f>
        <v/>
      </c>
      <c r="D48">
        <f>VLOOKUP(B48,Observacoes!$A:$D,3,FALSE)</f>
        <v/>
      </c>
      <c r="E48">
        <f>VLOOKUP(B48,Observacoes!$A:$D,4,FALSE)</f>
        <v/>
      </c>
      <c r="F48" t="inlineStr">
        <is>
          <t>Identificacao da veia
 Maos ocupadas com ultrasom e agulha</t>
        </is>
      </c>
      <c r="G48" t="inlineStr">
        <is>
          <t>criancas</t>
        </is>
      </c>
      <c r="H48" t="inlineStr">
        <is>
          <t>reduzir eventos adversos em x%</t>
        </is>
      </c>
      <c r="I48" t="inlineStr">
        <is>
          <t>Uma forma de melhorar a identificaca de veias em pacientes pediatricos com o objetivo de reduzir eventos adversos em x%</t>
        </is>
      </c>
      <c r="J48" t="inlineStr">
        <is>
          <t>Cateter</t>
        </is>
      </c>
      <c r="K48" t="inlineStr">
        <is>
          <t>Vitor</t>
        </is>
      </c>
    </row>
    <row r="49">
      <c r="A49" t="inlineStr">
        <is>
          <t>NEED-048</t>
        </is>
      </c>
      <c r="B49" t="inlineStr">
        <is>
          <t>OBS-062</t>
        </is>
      </c>
      <c r="C49">
        <f>VLOOKUP(B49,Observacoes!$A:$D,2,FALSE)</f>
        <v/>
      </c>
      <c r="D49">
        <f>VLOOKUP(B49,Observacoes!$A:$D,3,FALSE)</f>
        <v/>
      </c>
      <c r="E49">
        <f>VLOOKUP(B49,Observacoes!$A:$D,4,FALSE)</f>
        <v/>
      </c>
      <c r="F49" t="inlineStr">
        <is>
          <t>Infeccao do cateter</t>
        </is>
      </c>
      <c r="G49" t="inlineStr">
        <is>
          <t>criancas</t>
        </is>
      </c>
      <c r="H49" t="inlineStr">
        <is>
          <t>reduzir as taxas de infeccoes em x%</t>
        </is>
      </c>
      <c r="I49" t="inlineStr">
        <is>
          <t>Uma forma protetiva de inserir o cateter em pacientes pediatricos com o objetivo de reduzir a infeccao do cateter em x%</t>
        </is>
      </c>
      <c r="J49" t="inlineStr">
        <is>
          <t>Cateter</t>
        </is>
      </c>
      <c r="K49" t="inlineStr">
        <is>
          <t>Vitor</t>
        </is>
      </c>
    </row>
    <row r="50">
      <c r="A50" t="inlineStr">
        <is>
          <t>NEED-049</t>
        </is>
      </c>
      <c r="B50" t="inlineStr">
        <is>
          <t>OBS-070</t>
        </is>
      </c>
      <c r="C50">
        <f>VLOOKUP(B50,Observacoes!$A:$D,2,FALSE)</f>
        <v/>
      </c>
      <c r="D50">
        <f>VLOOKUP(B50,Observacoes!$A:$D,3,FALSE)</f>
        <v/>
      </c>
      <c r="E50">
        <f>VLOOKUP(B50,Observacoes!$A:$D,4,FALSE)</f>
        <v/>
      </c>
      <c r="F50" t="inlineStr">
        <is>
          <t>Dores na mao
 Facil desconexao</t>
        </is>
      </c>
      <c r="G50" t="inlineStr">
        <is>
          <t>criancas</t>
        </is>
      </c>
      <c r="H50" t="inlineStr">
        <is>
          <t>diminuir as desconexoes acidentais em x%</t>
        </is>
      </c>
      <c r="I50" t="inlineStr">
        <is>
          <t>Uma melhor forma de PAI em pacientes pediatricos com o objetivo de diminuir as desconexoes acidentais em x%</t>
        </is>
      </c>
      <c r="J50" t="inlineStr">
        <is>
          <t>Cateter</t>
        </is>
      </c>
      <c r="K50" t="inlineStr">
        <is>
          <t>Vitor</t>
        </is>
      </c>
    </row>
    <row r="51">
      <c r="A51" t="inlineStr">
        <is>
          <t>NEED-050</t>
        </is>
      </c>
      <c r="B51" t="inlineStr">
        <is>
          <t>OBS-071</t>
        </is>
      </c>
      <c r="C51">
        <f>VLOOKUP(B51,Observacoes!$A:$D,2,FALSE)</f>
        <v/>
      </c>
      <c r="D51">
        <f>VLOOKUP(B51,Observacoes!$A:$D,3,FALSE)</f>
        <v/>
      </c>
      <c r="E51">
        <f>VLOOKUP(B51,Observacoes!$A:$D,4,FALSE)</f>
        <v/>
      </c>
      <c r="F51" t="inlineStr">
        <is>
          <t>Fixacao machuca
 Fixacao inadequado impede funcionamento</t>
        </is>
      </c>
      <c r="G51" t="inlineStr">
        <is>
          <t>criancas</t>
        </is>
      </c>
      <c r="H51" t="inlineStr">
        <is>
          <t>operabilidade da sonda em %</t>
        </is>
      </c>
      <c r="I51" t="inlineStr">
        <is>
          <t>Uma melhor forma de fixacao da sonda vesical em pacientes pediatricos com o objetivo de manter a operabilidade da sonda em 100%</t>
        </is>
      </c>
      <c r="J51" t="inlineStr">
        <is>
          <t>Cateter</t>
        </is>
      </c>
      <c r="K51" t="inlineStr">
        <is>
          <t>Vitor</t>
        </is>
      </c>
    </row>
    <row r="52">
      <c r="A52" t="inlineStr">
        <is>
          <t>NEED-051</t>
        </is>
      </c>
      <c r="B52" t="inlineStr">
        <is>
          <t>OBS-072</t>
        </is>
      </c>
      <c r="C52">
        <f>VLOOKUP(B52,Observacoes!$A:$D,2,FALSE)</f>
        <v/>
      </c>
      <c r="D52">
        <f>VLOOKUP(B52,Observacoes!$A:$D,3,FALSE)</f>
        <v/>
      </c>
      <c r="E52">
        <f>VLOOKUP(B52,Observacoes!$A:$D,4,FALSE)</f>
        <v/>
      </c>
      <c r="F52" t="inlineStr">
        <is>
          <t>Intervencao cirurgica
 Inefetividade da sonda por falta de tamanho</t>
        </is>
      </c>
      <c r="G52" t="inlineStr">
        <is>
          <t>criancas</t>
        </is>
      </c>
      <c r="H52" t="inlineStr">
        <is>
          <t>reduzir intervencoes cirurgicas em x%</t>
        </is>
      </c>
      <c r="I52" t="inlineStr">
        <is>
          <t>Uma melhor forma de adequar a sonda vesical de demora em pacientes pediatricos com o objetivo de reduzir intervencoes cirurgicas em x%</t>
        </is>
      </c>
      <c r="J52" t="inlineStr">
        <is>
          <t>Cateter</t>
        </is>
      </c>
      <c r="K52" t="inlineStr">
        <is>
          <t>Vitor</t>
        </is>
      </c>
    </row>
    <row r="53">
      <c r="A53" t="inlineStr">
        <is>
          <t>NEED-052</t>
        </is>
      </c>
      <c r="B53" t="inlineStr">
        <is>
          <t>OBS-092</t>
        </is>
      </c>
      <c r="C53">
        <f>VLOOKUP(B53,Observacoes!$A:$D,2,FALSE)</f>
        <v/>
      </c>
      <c r="D53">
        <f>VLOOKUP(B53,Observacoes!$A:$D,3,FALSE)</f>
        <v/>
      </c>
      <c r="E53">
        <f>VLOOKUP(B53,Observacoes!$A:$D,4,FALSE)</f>
        <v/>
      </c>
      <c r="F53" t="inlineStr">
        <is>
          <t>PICC ir para um lugar indesejado</t>
        </is>
      </c>
      <c r="G53" t="inlineStr">
        <is>
          <t>criancas</t>
        </is>
      </c>
      <c r="H53" t="inlineStr">
        <is>
          <t>reduzir eventos adversos em x%</t>
        </is>
      </c>
      <c r="I53" t="inlineStr">
        <is>
          <t>Uma forma de rastreabilidade do caminho do PIC em pacientes pediatricos com o objetivo de reduzir eventos adversos em x%</t>
        </is>
      </c>
      <c r="J53" t="inlineStr">
        <is>
          <t>Cateter</t>
        </is>
      </c>
      <c r="K53" t="inlineStr">
        <is>
          <t>Vitor</t>
        </is>
      </c>
    </row>
    <row r="54">
      <c r="A54" t="inlineStr">
        <is>
          <t>NEED-053</t>
        </is>
      </c>
      <c r="B54" t="inlineStr">
        <is>
          <t>OBS-050</t>
        </is>
      </c>
      <c r="C54">
        <f>VLOOKUP(B54,Observacoes!$A:$D,2,FALSE)</f>
        <v/>
      </c>
      <c r="D54">
        <f>VLOOKUP(B54,Observacoes!$A:$D,3,FALSE)</f>
        <v/>
      </c>
      <c r="E54">
        <f>VLOOKUP(B54,Observacoes!$A:$D,4,FALSE)</f>
        <v/>
      </c>
      <c r="F54" t="inlineStr">
        <is>
          <t>Dificuldade de comunicacao entre equipe e familiares</t>
        </is>
      </c>
      <c r="G54" t="inlineStr">
        <is>
          <t>Criancas internadas na UTI</t>
        </is>
      </c>
      <c r="H54" t="inlineStr">
        <is>
          <t>Evitar repeticao de conversas ja realizadas</t>
        </is>
      </c>
      <c r="I54" t="inlineStr">
        <is>
          <t>Uma forma de facilitar o entendimento dos familiares de criancas internadas em UTIs pediatricas para evitar chamados desnecessarios em x%</t>
        </is>
      </c>
      <c r="J54" t="inlineStr">
        <is>
          <t>Monitoramento</t>
        </is>
      </c>
      <c r="K54" t="inlineStr">
        <is>
          <t>Ana</t>
        </is>
      </c>
    </row>
    <row r="55">
      <c r="A55" t="inlineStr">
        <is>
          <t>NEED-054</t>
        </is>
      </c>
      <c r="B55" t="inlineStr">
        <is>
          <t>OBS-055</t>
        </is>
      </c>
      <c r="C55">
        <f>VLOOKUP(B55,Observacoes!$A:$D,2,FALSE)</f>
        <v/>
      </c>
      <c r="D55">
        <f>VLOOKUP(B55,Observacoes!$A:$D,3,FALSE)</f>
        <v/>
      </c>
      <c r="E55">
        <f>VLOOKUP(B55,Observacoes!$A:$D,4,FALSE)</f>
        <v/>
      </c>
      <c r="F55" t="inlineStr">
        <is>
          <t>Desperdicio de dinheiro</t>
        </is>
      </c>
      <c r="G55" t="inlineStr">
        <is>
          <t>Criancas hospitalizadas</t>
        </is>
      </c>
      <c r="H55" t="inlineStr">
        <is>
          <t>Viabilizar um dispositivo que seja possivel trocar baterias ou pilhas</t>
        </is>
      </c>
      <c r="I55" t="inlineStr">
        <is>
          <t>Uma forma de Viabilizar um dispositivo que seja possivel trocar baterias ou pilhas</t>
        </is>
      </c>
      <c r="J55" t="inlineStr">
        <is>
          <t>Monitoramento</t>
        </is>
      </c>
      <c r="K55" t="inlineStr">
        <is>
          <t>Mariana</t>
        </is>
      </c>
    </row>
    <row r="56">
      <c r="A56" t="inlineStr">
        <is>
          <t>NEED-055</t>
        </is>
      </c>
      <c r="B56" t="inlineStr">
        <is>
          <t>OBS-056</t>
        </is>
      </c>
      <c r="C56">
        <f>VLOOKUP(B56,Observacoes!$A:$D,2,FALSE)</f>
        <v/>
      </c>
      <c r="D56">
        <f>VLOOKUP(B56,Observacoes!$A:$D,3,FALSE)</f>
        <v/>
      </c>
      <c r="E56">
        <f>VLOOKUP(B56,Observacoes!$A:$D,4,FALSE)</f>
        <v/>
      </c>
      <c r="F56" t="inlineStr">
        <is>
          <t>Dificuldade de transporte</t>
        </is>
      </c>
      <c r="H56" t="inlineStr">
        <is>
          <t>Melhorar/aperfeicoar eco para uma aparelhagem completa.</t>
        </is>
      </c>
      <c r="I56" t="inlineStr">
        <is>
          <t>Uma forma de Melhorar/aperfeicoar eco para uma aparelhagem completa.</t>
        </is>
      </c>
      <c r="J56" t="inlineStr">
        <is>
          <t>Monitoramento</t>
        </is>
      </c>
      <c r="K56" t="inlineStr">
        <is>
          <t>Mariana</t>
        </is>
      </c>
    </row>
    <row r="57">
      <c r="A57" t="inlineStr">
        <is>
          <t>NEED-056</t>
        </is>
      </c>
      <c r="B57" t="inlineStr">
        <is>
          <t>OBS-058</t>
        </is>
      </c>
      <c r="C57">
        <f>VLOOKUP(B57,Observacoes!$A:$D,2,FALSE)</f>
        <v/>
      </c>
      <c r="D57">
        <f>VLOOKUP(B57,Observacoes!$A:$D,3,FALSE)</f>
        <v/>
      </c>
      <c r="E57">
        <f>VLOOKUP(B57,Observacoes!$A:$D,4,FALSE)</f>
        <v/>
      </c>
      <c r="F57" t="inlineStr">
        <is>
          <t>Multiplas retiradas de adesivos escoriam a pele</t>
        </is>
      </c>
      <c r="G57" t="inlineStr">
        <is>
          <t>Criancas hospitalizadas</t>
        </is>
      </c>
      <c r="H57" t="inlineStr">
        <is>
          <t>Possibilitar que seja feito um ecg de 12 derivacoes sem precisar retirar os adesivos da monitorizacao e lesionar a pele das criancas</t>
        </is>
      </c>
      <c r="I57" t="inlineStr">
        <is>
          <t>uma forma de realizar ecg 12 derivacoes sem retirar os adesivos de monitoramento.</t>
        </is>
      </c>
      <c r="J57" t="inlineStr">
        <is>
          <t>Monitoramento</t>
        </is>
      </c>
      <c r="K57" t="inlineStr">
        <is>
          <t>Mariana</t>
        </is>
      </c>
    </row>
    <row r="58">
      <c r="A58" t="inlineStr">
        <is>
          <t>NEED-057</t>
        </is>
      </c>
      <c r="B58" t="inlineStr">
        <is>
          <t>OBS-045</t>
        </is>
      </c>
      <c r="C58">
        <f>VLOOKUP(B58,Observacoes!$A:$D,2,FALSE)</f>
        <v/>
      </c>
      <c r="D58">
        <f>VLOOKUP(B58,Observacoes!$A:$D,3,FALSE)</f>
        <v/>
      </c>
      <c r="E58">
        <f>VLOOKUP(B58,Observacoes!$A:$D,4,FALSE)</f>
        <v/>
      </c>
      <c r="F58" t="inlineStr">
        <is>
          <t>Dificuldade na conscientizacao do paciente pediatrico sobre seu diagnostico</t>
        </is>
      </c>
      <c r="G58" t="inlineStr">
        <is>
          <t>Criancas internadas na UTI</t>
        </is>
      </c>
      <c r="H58" t="inlineStr">
        <is>
          <t>Melhorar aderencia ao tratamento</t>
        </is>
      </c>
      <c r="I58" t="inlineStr">
        <is>
          <t>Uma forma de educar o paciente em UTIs pediatricas com o objetivo de melhorar a aderencia ao tratamento em x%</t>
        </is>
      </c>
      <c r="J58" t="inlineStr">
        <is>
          <t>Educacao</t>
        </is>
      </c>
      <c r="K58" t="inlineStr">
        <is>
          <t>Ana</t>
        </is>
      </c>
    </row>
    <row r="59">
      <c r="A59" t="inlineStr">
        <is>
          <t>NEED-058</t>
        </is>
      </c>
      <c r="B59" t="inlineStr">
        <is>
          <t>OBS-052</t>
        </is>
      </c>
      <c r="C59">
        <f>VLOOKUP(B59,Observacoes!$A:$D,2,FALSE)</f>
        <v/>
      </c>
      <c r="D59">
        <f>VLOOKUP(B59,Observacoes!$A:$D,3,FALSE)</f>
        <v/>
      </c>
      <c r="E59">
        <f>VLOOKUP(B59,Observacoes!$A:$D,4,FALSE)</f>
        <v/>
      </c>
      <c r="F59" t="inlineStr">
        <is>
          <t>Dificuldade na adpatacao da mascara de VNI</t>
        </is>
      </c>
      <c r="G59" t="inlineStr">
        <is>
          <t>Criancas hospitalizadas</t>
        </is>
      </c>
      <c r="H59" t="inlineStr">
        <is>
          <t>Reduzir taxa de IOT</t>
        </is>
      </c>
      <c r="I59" t="inlineStr">
        <is>
          <t>Uma forma de adaptacao de ventilacao nao invasiva em criancas internadas com o objetivo de reduzir a taxa de intubacao em x%.</t>
        </is>
      </c>
      <c r="J59" t="inlineStr">
        <is>
          <t>Respiratorio</t>
        </is>
      </c>
      <c r="K59" t="inlineStr">
        <is>
          <t>Ana</t>
        </is>
      </c>
    </row>
    <row r="60">
      <c r="A60" t="inlineStr">
        <is>
          <t>NEED-059</t>
        </is>
      </c>
      <c r="B60" t="inlineStr">
        <is>
          <t>OBS-052</t>
        </is>
      </c>
      <c r="C60">
        <f>VLOOKUP(B60,Observacoes!$A:$D,2,FALSE)</f>
        <v/>
      </c>
      <c r="D60">
        <f>VLOOKUP(B60,Observacoes!$A:$D,3,FALSE)</f>
        <v/>
      </c>
      <c r="E60">
        <f>VLOOKUP(B60,Observacoes!$A:$D,4,FALSE)</f>
        <v/>
      </c>
      <c r="F60" t="inlineStr">
        <is>
          <t>Dificuldade na adpatacao da mascara de VNI</t>
        </is>
      </c>
      <c r="G60" t="inlineStr">
        <is>
          <t>Criancas hospitalizadas</t>
        </is>
      </c>
      <c r="H60" t="inlineStr">
        <is>
          <t>Reduzir trabalho respiratorio</t>
        </is>
      </c>
      <c r="I60" t="inlineStr">
        <is>
          <t>Uma forma de adaptar a mascara de VNI em criancas internadas com o objetivo de reduzir trabalho respiratorio em x%.</t>
        </is>
      </c>
      <c r="J60" t="inlineStr">
        <is>
          <t>Respiratorio</t>
        </is>
      </c>
      <c r="K60" t="inlineStr">
        <is>
          <t>Ana</t>
        </is>
      </c>
    </row>
    <row r="61">
      <c r="A61" t="inlineStr">
        <is>
          <t>NEED-060</t>
        </is>
      </c>
      <c r="B61" t="inlineStr">
        <is>
          <t>OBS-054</t>
        </is>
      </c>
      <c r="C61">
        <f>VLOOKUP(B61,Observacoes!$A:$D,2,FALSE)</f>
        <v/>
      </c>
      <c r="D61">
        <f>VLOOKUP(B61,Observacoes!$A:$D,3,FALSE)</f>
        <v/>
      </c>
      <c r="E61">
        <f>VLOOKUP(B61,Observacoes!$A:$D,4,FALSE)</f>
        <v/>
      </c>
      <c r="F61" t="inlineStr">
        <is>
          <t>Escassez de um instrumento que facilite IOT em criancas &lt;6m</t>
        </is>
      </c>
      <c r="G61" t="inlineStr">
        <is>
          <t>Criancas hospitalizadas</t>
        </is>
      </c>
      <c r="H61" t="inlineStr">
        <is>
          <t>Evitar complicacoes por tempo elevado do procedimento de IOT</t>
        </is>
      </c>
      <c r="I61" t="inlineStr">
        <is>
          <t>Uma forma de facilitar a IOT em criancas menores de 6 meses para evitar as complicacoes de um tempo elevado durante procedimento de IOT em x%</t>
        </is>
      </c>
      <c r="J61" t="inlineStr">
        <is>
          <t>Respiratorio</t>
        </is>
      </c>
      <c r="K61" t="inlineStr">
        <is>
          <t>Ana</t>
        </is>
      </c>
    </row>
    <row r="62">
      <c r="A62" t="inlineStr">
        <is>
          <t>NEED-061</t>
        </is>
      </c>
      <c r="B62" t="inlineStr">
        <is>
          <t>OBS-054</t>
        </is>
      </c>
      <c r="C62">
        <f>VLOOKUP(B62,Observacoes!$A:$D,2,FALSE)</f>
        <v/>
      </c>
      <c r="D62">
        <f>VLOOKUP(B62,Observacoes!$A:$D,3,FALSE)</f>
        <v/>
      </c>
      <c r="E62">
        <f>VLOOKUP(B62,Observacoes!$A:$D,4,FALSE)</f>
        <v/>
      </c>
      <c r="F62" t="inlineStr">
        <is>
          <t>Escassez de um instrumento que facilite IOT em criancas &lt;6m</t>
        </is>
      </c>
      <c r="G62" t="inlineStr">
        <is>
          <t>Criancas hospitalizadas</t>
        </is>
      </c>
      <c r="H62" t="inlineStr">
        <is>
          <t>Reduzir o tempo do procedimento de IOT</t>
        </is>
      </c>
      <c r="I62" t="inlineStr">
        <is>
          <t>Uma forma de facilitar a IOT em criancas menores de 6 meses para reduzir o tempo de procedimento em x%</t>
        </is>
      </c>
      <c r="J62" t="inlineStr">
        <is>
          <t>Respiratorio</t>
        </is>
      </c>
      <c r="K62" t="inlineStr">
        <is>
          <t>Ana</t>
        </is>
      </c>
    </row>
    <row r="63">
      <c r="A63" t="inlineStr">
        <is>
          <t>NEED-062</t>
        </is>
      </c>
      <c r="B63" t="inlineStr">
        <is>
          <t>OBS-041</t>
        </is>
      </c>
      <c r="C63">
        <f>VLOOKUP(B63,Observacoes!$A:$D,2,FALSE)</f>
        <v/>
      </c>
      <c r="D63">
        <f>VLOOKUP(B63,Observacoes!$A:$D,3,FALSE)</f>
        <v/>
      </c>
      <c r="E63">
        <f>VLOOKUP(B63,Observacoes!$A:$D,4,FALSE)</f>
        <v/>
      </c>
      <c r="F63" t="inlineStr">
        <is>
          <t>Maior mortalidade por Insuficiencia respiratoria</t>
        </is>
      </c>
      <c r="G63" t="inlineStr">
        <is>
          <t>Criancas internadas na UTI</t>
        </is>
      </c>
      <c r="H63" t="inlineStr">
        <is>
          <t>Reduzir mortalidade por Insuficiencia respiratoria aguda por pAV</t>
        </is>
      </c>
      <c r="I63" t="inlineStr">
        <is>
          <t>Uma forma de Reduzir em % mortalidade por Insuficiencia respiratoria aguda por pAV</t>
        </is>
      </c>
      <c r="J63" t="inlineStr">
        <is>
          <t>Respiratorio</t>
        </is>
      </c>
      <c r="K63" t="inlineStr">
        <is>
          <t>Mariana</t>
        </is>
      </c>
    </row>
    <row r="64">
      <c r="A64" t="inlineStr">
        <is>
          <t>NEED-063</t>
        </is>
      </c>
      <c r="B64" t="inlineStr">
        <is>
          <t>OBS-041</t>
        </is>
      </c>
      <c r="C64">
        <f>VLOOKUP(B64,Observacoes!$A:$D,2,FALSE)</f>
        <v/>
      </c>
      <c r="D64">
        <f>VLOOKUP(B64,Observacoes!$A:$D,3,FALSE)</f>
        <v/>
      </c>
      <c r="E64">
        <f>VLOOKUP(B64,Observacoes!$A:$D,4,FALSE)</f>
        <v/>
      </c>
      <c r="F64" t="inlineStr">
        <is>
          <t>Maior tempo em ventilacao mecanica levando a maior chance de complicacoes como a PAV</t>
        </is>
      </c>
      <c r="G64" t="inlineStr">
        <is>
          <t>Criancas internadas na UTI</t>
        </is>
      </c>
      <c r="H64" t="inlineStr">
        <is>
          <t>Reduzir o  tempo de ventilacao mecanica diminuindo as chances de complicacoes associadas a ventilacao mecanica.</t>
        </is>
      </c>
      <c r="I64" t="inlineStr">
        <is>
          <t>Uma forma de diminuir o tempo de ventilacao mecanica em criancas  na UTI, reduzindo em x% as taxas de PAV</t>
        </is>
      </c>
      <c r="J64" t="inlineStr">
        <is>
          <t>Respiratorio</t>
        </is>
      </c>
      <c r="K64" t="inlineStr">
        <is>
          <t>Mariana</t>
        </is>
      </c>
    </row>
    <row r="65">
      <c r="A65" t="inlineStr">
        <is>
          <t>NEED-064</t>
        </is>
      </c>
      <c r="B65" t="inlineStr">
        <is>
          <t>OBS-041</t>
        </is>
      </c>
      <c r="C65">
        <f>VLOOKUP(B65,Observacoes!$A:$D,2,FALSE)</f>
        <v/>
      </c>
      <c r="D65">
        <f>VLOOKUP(B65,Observacoes!$A:$D,3,FALSE)</f>
        <v/>
      </c>
      <c r="E65">
        <f>VLOOKUP(B65,Observacoes!$A:$D,4,FALSE)</f>
        <v/>
      </c>
      <c r="F65" t="inlineStr">
        <is>
          <t>Aumento do custo de internacao ( Custo de tratamento antibioticos, leito de uti, equipe multidisciplinar)</t>
        </is>
      </c>
      <c r="G65" t="inlineStr">
        <is>
          <t>Criancas internadas na UTI</t>
        </is>
      </c>
      <c r="H65" t="inlineStr">
        <is>
          <t>Reduzir o custo de internacao em uti ( Custo de tratamento antibioticos, leito de uti, equipe multidisciplinar)</t>
        </is>
      </c>
      <c r="I65" t="inlineStr">
        <is>
          <t>Uma forma de diminuir em x% os custos de internacao em UTI pediatrica relacionados a Pav</t>
        </is>
      </c>
      <c r="J65" t="inlineStr">
        <is>
          <t>Respiratorio</t>
        </is>
      </c>
      <c r="K65" t="inlineStr">
        <is>
          <t>Mariana</t>
        </is>
      </c>
    </row>
    <row r="66">
      <c r="A66" t="inlineStr">
        <is>
          <t>NEED-065</t>
        </is>
      </c>
      <c r="B66" t="inlineStr">
        <is>
          <t>OBS-041</t>
        </is>
      </c>
      <c r="C66">
        <f>VLOOKUP(B66,Observacoes!$A:$D,2,FALSE)</f>
        <v/>
      </c>
      <c r="D66">
        <f>VLOOKUP(B66,Observacoes!$A:$D,3,FALSE)</f>
        <v/>
      </c>
      <c r="E66">
        <f>VLOOKUP(B66,Observacoes!$A:$D,4,FALSE)</f>
        <v/>
      </c>
      <c r="F66" t="inlineStr">
        <is>
          <t>Aumento da resistencia antimicrobiana</t>
        </is>
      </c>
      <c r="G66" t="inlineStr">
        <is>
          <t>Criancas internadas na UTI</t>
        </is>
      </c>
      <c r="H66" t="inlineStr">
        <is>
          <t>Diminuir a resistencia antimicrobiana atribuida ao uso excessivo de antibioticos durante a internacao.</t>
        </is>
      </c>
      <c r="I66" t="inlineStr">
        <is>
          <t>Uma forma de reduzir em x% a incidencia de resistencia bacteriana a antibioticos na uti pediatrica.</t>
        </is>
      </c>
      <c r="J66" t="inlineStr">
        <is>
          <t>Respiratorio</t>
        </is>
      </c>
      <c r="K66" t="inlineStr">
        <is>
          <t>Mariana</t>
        </is>
      </c>
    </row>
    <row r="67">
      <c r="A67" t="inlineStr">
        <is>
          <t>NEED-066</t>
        </is>
      </c>
      <c r="B67" t="inlineStr">
        <is>
          <t>OBS-044</t>
        </is>
      </c>
      <c r="C67">
        <f>VLOOKUP(B67,Observacoes!$A:$D,2,FALSE)</f>
        <v/>
      </c>
      <c r="D67">
        <f>VLOOKUP(B67,Observacoes!$A:$D,3,FALSE)</f>
        <v/>
      </c>
      <c r="E67">
        <f>VLOOKUP(B67,Observacoes!$A:$D,4,FALSE)</f>
        <v/>
      </c>
      <c r="F67" t="inlineStr">
        <is>
          <t>Aumento na chance de alteracoes hemodinamicas ( hipotensao/ hipertensao) e na frequencia cardiaca (Arritmias)</t>
        </is>
      </c>
      <c r="G67" t="inlineStr">
        <is>
          <t>Criancas internadas na UTI</t>
        </is>
      </c>
      <c r="H67" t="inlineStr">
        <is>
          <t>Reduzir a incidencia de  alteracoes hemodinamicas ( hipotensao/ hipertensao e Arritmias</t>
        </is>
      </c>
      <c r="I67" t="inlineStr">
        <is>
          <t>Uma forma de reduzir as alteracoes hemodinamicas relacionadas ao banho no leito em criancas</t>
        </is>
      </c>
      <c r="J67" t="inlineStr">
        <is>
          <t>Banho</t>
        </is>
      </c>
      <c r="K67" t="inlineStr">
        <is>
          <t>Mariana</t>
        </is>
      </c>
    </row>
    <row r="68">
      <c r="A68" t="inlineStr">
        <is>
          <t>NEED-067</t>
        </is>
      </c>
      <c r="B68" t="inlineStr">
        <is>
          <t>OBS-044</t>
        </is>
      </c>
      <c r="C68">
        <f>VLOOKUP(B68,Observacoes!$A:$D,2,FALSE)</f>
        <v/>
      </c>
      <c r="D68">
        <f>VLOOKUP(B68,Observacoes!$A:$D,3,FALSE)</f>
        <v/>
      </c>
      <c r="E68">
        <f>VLOOKUP(B68,Observacoes!$A:$D,4,FALSE)</f>
        <v/>
      </c>
      <c r="F68" t="inlineStr">
        <is>
          <t>Aumenta Perda de calor corporal (hipotermia)</t>
        </is>
      </c>
      <c r="G68" t="inlineStr">
        <is>
          <t>Criancas internadas na UTI</t>
        </is>
      </c>
      <c r="H68" t="inlineStr">
        <is>
          <t>Reduzir a perda de calor corporal causada por tempo de banho prolongado</t>
        </is>
      </c>
      <c r="I68" t="inlineStr">
        <is>
          <t>Uma forma de reduzir perda de calor corporal em banhos de criancas no leito</t>
        </is>
      </c>
      <c r="J68" t="inlineStr">
        <is>
          <t>Banho</t>
        </is>
      </c>
      <c r="K68" t="inlineStr">
        <is>
          <t>Mariana</t>
        </is>
      </c>
    </row>
    <row r="69">
      <c r="A69" t="inlineStr">
        <is>
          <t>NEED-068</t>
        </is>
      </c>
      <c r="B69" t="inlineStr">
        <is>
          <t>OBS-044</t>
        </is>
      </c>
      <c r="C69">
        <f>VLOOKUP(B69,Observacoes!$A:$D,2,FALSE)</f>
        <v/>
      </c>
      <c r="D69">
        <f>VLOOKUP(B69,Observacoes!$A:$D,3,FALSE)</f>
        <v/>
      </c>
      <c r="E69">
        <f>VLOOKUP(B69,Observacoes!$A:$D,4,FALSE)</f>
        <v/>
      </c>
      <c r="F69" t="inlineStr">
        <is>
          <t>A desconexao dos dispositivos medicos prolongada no banho pode impedir a deteccao de anormalidades importantes que modificam condutas e curso de internacao</t>
        </is>
      </c>
      <c r="G69" t="inlineStr">
        <is>
          <t>Criancas internadas na UTI</t>
        </is>
      </c>
      <c r="H69" t="inlineStr">
        <is>
          <t>Possibilitar a deteccao precoce de alteracoes nos sinais vitais a maior parte do tempo nos pacientes internados</t>
        </is>
      </c>
      <c r="I69" t="inlineStr">
        <is>
          <t>Uma forma de reduzir o tempo de  desconexao de monitorizacao essencial  em x%  nos banhos de leito na UTI pediatrica</t>
        </is>
      </c>
      <c r="J69" t="inlineStr">
        <is>
          <t>Monitoramento</t>
        </is>
      </c>
      <c r="K69" t="inlineStr">
        <is>
          <t>Mariana</t>
        </is>
      </c>
    </row>
    <row r="70">
      <c r="A70" t="inlineStr">
        <is>
          <t>NEED-069</t>
        </is>
      </c>
      <c r="B70" t="inlineStr">
        <is>
          <t>OBS-044</t>
        </is>
      </c>
      <c r="C70">
        <f>VLOOKUP(B70,Observacoes!$A:$D,2,FALSE)</f>
        <v/>
      </c>
      <c r="D70">
        <f>VLOOKUP(B70,Observacoes!$A:$D,3,FALSE)</f>
        <v/>
      </c>
      <c r="E70">
        <f>VLOOKUP(B70,Observacoes!$A:$D,4,FALSE)</f>
        <v/>
      </c>
      <c r="F70" t="inlineStr">
        <is>
          <t>aumento da perda ou deslocamento de dispositivos vitais ao tratamento intensivo ( cateteres, tubo endotraqueal)</t>
        </is>
      </c>
      <c r="G70" t="inlineStr">
        <is>
          <t>Criancas internadas na UTI</t>
        </is>
      </c>
      <c r="H70" t="inlineStr">
        <is>
          <t>reduzir as perdas ou deslocamento de dispositivos vitais ao tratamento intensivo ( cateteres, tubo endotraqueal)</t>
        </is>
      </c>
      <c r="I70" t="inlineStr">
        <is>
          <t>Uma forma de diminuir em x% as desconexoes e perdas acidentais de dispositivos nos banhos de leito na UTI pediatrica.</t>
        </is>
      </c>
      <c r="J70" t="inlineStr">
        <is>
          <t>Monitoramento</t>
        </is>
      </c>
      <c r="K70" t="inlineStr">
        <is>
          <t>Mariana</t>
        </is>
      </c>
    </row>
    <row r="71">
      <c r="A71" t="inlineStr">
        <is>
          <t>NEED-070</t>
        </is>
      </c>
      <c r="B71" t="inlineStr">
        <is>
          <t>OBS-042</t>
        </is>
      </c>
      <c r="C71">
        <f>VLOOKUP(B71,Observacoes!$A:$D,2,FALSE)</f>
        <v/>
      </c>
      <c r="D71">
        <f>VLOOKUP(B71,Observacoes!$A:$D,3,FALSE)</f>
        <v/>
      </c>
      <c r="E71">
        <f>VLOOKUP(B71,Observacoes!$A:$D,4,FALSE)</f>
        <v/>
      </c>
      <c r="F71" t="inlineStr">
        <is>
          <t>Criancas menores podem nao se adaptar</t>
        </is>
      </c>
      <c r="G71" t="inlineStr">
        <is>
          <t>Criancas internadas na UTI</t>
        </is>
      </c>
      <c r="H71" t="inlineStr">
        <is>
          <t>Reduzir falta ou atraso na deteccao de episodios de insuficiencia respiratoria</t>
        </is>
      </c>
      <c r="I71" t="inlineStr">
        <is>
          <t>Uma forma de garantir a ventilacao nao invasiva em pacientes pediatricos internados na UTI para reudicir a insuficiencia respiratoria um X%</t>
        </is>
      </c>
      <c r="J71" t="inlineStr">
        <is>
          <t>Respiratorio</t>
        </is>
      </c>
      <c r="K71" t="inlineStr">
        <is>
          <t>Marta</t>
        </is>
      </c>
    </row>
    <row r="72">
      <c r="A72" t="inlineStr">
        <is>
          <t>NEED-071</t>
        </is>
      </c>
      <c r="B72" t="inlineStr">
        <is>
          <t>OBS-051</t>
        </is>
      </c>
      <c r="C72">
        <f>VLOOKUP(B72,Observacoes!$A:$D,2,FALSE)</f>
        <v/>
      </c>
      <c r="D72">
        <f>VLOOKUP(B72,Observacoes!$A:$D,3,FALSE)</f>
        <v/>
      </c>
      <c r="E72">
        <f>VLOOKUP(B72,Observacoes!$A:$D,4,FALSE)</f>
        <v/>
      </c>
      <c r="F72" t="inlineStr">
        <is>
          <t>Perda de tempo no banho, custo do tecnico de enfermagem</t>
        </is>
      </c>
      <c r="G72" t="inlineStr">
        <is>
          <t>Criancas hospitalizadas</t>
        </is>
      </c>
      <c r="H72" t="inlineStr">
        <is>
          <t>Reduzir custos associados ao tempo de banho</t>
        </is>
      </c>
      <c r="I72" t="inlineStr">
        <is>
          <t>Uma forma de facilitar o banho em pacientes pediatricos hospitalizados para reducir o tempo gasto pelo tecnico de emfermagem em X%</t>
        </is>
      </c>
      <c r="J72" t="inlineStr">
        <is>
          <t>Banho</t>
        </is>
      </c>
      <c r="K72" t="inlineStr">
        <is>
          <t>Marta</t>
        </is>
      </c>
    </row>
    <row r="73">
      <c r="A73" t="inlineStr">
        <is>
          <t>NEED-072</t>
        </is>
      </c>
      <c r="B73" t="inlineStr">
        <is>
          <t>OBS-051</t>
        </is>
      </c>
      <c r="C73">
        <f>VLOOKUP(B73,Observacoes!$A:$D,2,FALSE)</f>
        <v/>
      </c>
      <c r="D73">
        <f>VLOOKUP(B73,Observacoes!$A:$D,3,FALSE)</f>
        <v/>
      </c>
      <c r="E73">
        <f>VLOOKUP(B73,Observacoes!$A:$D,4,FALSE)</f>
        <v/>
      </c>
      <c r="F73" t="inlineStr">
        <is>
          <t>Sistema pouco eficiente pode causar infeccao</t>
        </is>
      </c>
      <c r="G73" t="inlineStr">
        <is>
          <t>Criancas hospitalizadas</t>
        </is>
      </c>
      <c r="H73" t="inlineStr">
        <is>
          <t>Reduzir infeccoes</t>
        </is>
      </c>
      <c r="I73" t="inlineStr">
        <is>
          <t>Uma forma de facilitar o banho em pacientes pediatricos hospitalizados para reducir infeccoes de cateter em X%</t>
        </is>
      </c>
      <c r="J73" t="inlineStr">
        <is>
          <t>Cateter</t>
        </is>
      </c>
      <c r="K73" t="inlineStr">
        <is>
          <t>Marta</t>
        </is>
      </c>
    </row>
    <row r="74">
      <c r="A74" t="inlineStr">
        <is>
          <t>NEED-073</t>
        </is>
      </c>
      <c r="B74" t="inlineStr">
        <is>
          <t>OBS-047</t>
        </is>
      </c>
      <c r="C74">
        <f>VLOOKUP(B74,Observacoes!$A:$D,2,FALSE)</f>
        <v/>
      </c>
      <c r="D74">
        <f>VLOOKUP(B74,Observacoes!$A:$D,3,FALSE)</f>
        <v/>
      </c>
      <c r="E74">
        <f>VLOOKUP(B74,Observacoes!$A:$D,4,FALSE)</f>
        <v/>
      </c>
      <c r="F74" t="inlineStr">
        <is>
          <t>Deterioracao do estado de animo, agitacao, alienacao, pior desfecho clinico</t>
        </is>
      </c>
      <c r="G74" t="inlineStr">
        <is>
          <t>Criancas hospitalizadas</t>
        </is>
      </c>
      <c r="H74" t="inlineStr">
        <is>
          <t>Melhorar a qualidade do atendimento para criancas, melhorar estados de animo</t>
        </is>
      </c>
      <c r="I74" t="inlineStr">
        <is>
          <t>Uma forma de enriquecimento ambiental em quartos de pediatria para melhorar a qualidade de vida das criancas e familiares em X%</t>
        </is>
      </c>
      <c r="J74" t="inlineStr">
        <is>
          <t>Infraestrutura</t>
        </is>
      </c>
      <c r="K74" t="inlineStr">
        <is>
          <t>Marta</t>
        </is>
      </c>
    </row>
    <row r="75">
      <c r="A75" t="inlineStr">
        <is>
          <t>NEED-074</t>
        </is>
      </c>
      <c r="B75" t="inlineStr">
        <is>
          <t>OBS-047</t>
        </is>
      </c>
      <c r="C75">
        <f>VLOOKUP(B75,Observacoes!$A:$D,2,FALSE)</f>
        <v/>
      </c>
      <c r="D75">
        <f>VLOOKUP(B75,Observacoes!$A:$D,3,FALSE)</f>
        <v/>
      </c>
      <c r="E75">
        <f>VLOOKUP(B75,Observacoes!$A:$D,4,FALSE)</f>
        <v/>
      </c>
      <c r="F75" t="inlineStr">
        <is>
          <t>Deterioracao do estado de animo, agitacao, alienacao</t>
        </is>
      </c>
      <c r="G75" t="inlineStr">
        <is>
          <t>Familiares e acompanhantes</t>
        </is>
      </c>
      <c r="H75" t="inlineStr">
        <is>
          <t>Melhorar a qualidade do atendimento e satisfacao em familiares e acompanhantes, melhorar estados de animo</t>
        </is>
      </c>
      <c r="I75" t="inlineStr">
        <is>
          <t>Uma forma de enriquecimento ambiental em quartos de pediatria para melhorar a satisfacao de familiares e acompanhantes em X%</t>
        </is>
      </c>
      <c r="J75" t="inlineStr">
        <is>
          <t>Infraestrutura</t>
        </is>
      </c>
      <c r="K75" t="inlineStr">
        <is>
          <t>Marta</t>
        </is>
      </c>
    </row>
    <row r="76">
      <c r="A76" t="inlineStr">
        <is>
          <t>NEED-075</t>
        </is>
      </c>
      <c r="B76" t="inlineStr">
        <is>
          <t>OBS-046</t>
        </is>
      </c>
      <c r="C76">
        <f>VLOOKUP(B76,Observacoes!$A:$D,2,FALSE)</f>
        <v/>
      </c>
      <c r="D76">
        <f>VLOOKUP(B76,Observacoes!$A:$D,3,FALSE)</f>
        <v/>
      </c>
      <c r="E76">
        <f>VLOOKUP(B76,Observacoes!$A:$D,4,FALSE)</f>
        <v/>
      </c>
      <c r="F76" t="inlineStr">
        <is>
          <t>Erros de medicacao</t>
        </is>
      </c>
      <c r="G76" t="inlineStr">
        <is>
          <t>Criancas hospitalizadas</t>
        </is>
      </c>
      <c r="H76" t="inlineStr">
        <is>
          <t>Reduzir efeitos adversos e custos associados a resolucao dos mesmos</t>
        </is>
      </c>
      <c r="I76" t="inlineStr">
        <is>
          <t>Uma forma de controlar as medicacoes em pacientes pediatricos hospitalizados para reduzir os efeitos adversos associados em %X</t>
        </is>
      </c>
      <c r="J76" t="inlineStr">
        <is>
          <t>Medicamentos</t>
        </is>
      </c>
      <c r="K76" t="inlineStr">
        <is>
          <t>Marta</t>
        </is>
      </c>
    </row>
    <row r="77">
      <c r="A77" t="inlineStr">
        <is>
          <t>NEED-076</t>
        </is>
      </c>
      <c r="B77" t="inlineStr">
        <is>
          <t>OBS-057</t>
        </is>
      </c>
      <c r="C77">
        <f>VLOOKUP(B77,Observacoes!$A:$D,2,FALSE)</f>
        <v/>
      </c>
      <c r="D77">
        <f>VLOOKUP(B77,Observacoes!$A:$D,3,FALSE)</f>
        <v/>
      </c>
      <c r="E77">
        <f>VLOOKUP(B77,Observacoes!$A:$D,4,FALSE)</f>
        <v/>
      </c>
      <c r="F77" t="inlineStr">
        <is>
          <t>Erros de medicacao</t>
        </is>
      </c>
      <c r="G77" t="inlineStr">
        <is>
          <t>Criancas hospitalizadas</t>
        </is>
      </c>
      <c r="H77" t="inlineStr">
        <is>
          <t>Reduzir efeitos adversos e custos associados a resolucao dos mesmos</t>
        </is>
      </c>
      <c r="I77" t="inlineStr">
        <is>
          <t>Uma forma automatizada de calcular as doses de medicamentos em pacientes pediatricos hospitalizados para reduzir erros de medicacao em X%</t>
        </is>
      </c>
      <c r="J77" t="inlineStr">
        <is>
          <t>Medicamentos</t>
        </is>
      </c>
      <c r="K77" t="inlineStr">
        <is>
          <t>Marta</t>
        </is>
      </c>
    </row>
    <row r="78">
      <c r="A78" t="inlineStr">
        <is>
          <t>NEED-077</t>
        </is>
      </c>
      <c r="B78" t="inlineStr">
        <is>
          <t>OBS-057</t>
        </is>
      </c>
      <c r="C78">
        <f>VLOOKUP(B78,Observacoes!$A:$D,2,FALSE)</f>
        <v/>
      </c>
      <c r="D78">
        <f>VLOOKUP(B78,Observacoes!$A:$D,3,FALSE)</f>
        <v/>
      </c>
      <c r="E78">
        <f>VLOOKUP(B78,Observacoes!$A:$D,4,FALSE)</f>
        <v/>
      </c>
      <c r="F78" t="inlineStr">
        <is>
          <t>Perda de tempo do tecnico de enfermagem</t>
        </is>
      </c>
      <c r="G78" t="inlineStr">
        <is>
          <t>Tecnico de Enfermagem</t>
        </is>
      </c>
      <c r="H78" t="inlineStr">
        <is>
          <t>Reduzir custos por tempo de trabalho</t>
        </is>
      </c>
      <c r="I78" t="inlineStr">
        <is>
          <t>Uma forma automatizada de calcular as doses de medicamentos em pacientes pediatricos hospitalizados para reduzir o custo associado ao trabalho do tecnico de enfermagem em X%</t>
        </is>
      </c>
      <c r="J78" t="inlineStr">
        <is>
          <t>Medicamentos</t>
        </is>
      </c>
      <c r="K78" t="inlineStr">
        <is>
          <t>Marta</t>
        </is>
      </c>
    </row>
    <row r="79">
      <c r="A79" t="inlineStr">
        <is>
          <t>NEED-078</t>
        </is>
      </c>
      <c r="B79" t="inlineStr">
        <is>
          <t>OBS-043</t>
        </is>
      </c>
      <c r="C79">
        <f>VLOOKUP(B79,Observacoes!$A:$D,2,FALSE)</f>
        <v/>
      </c>
      <c r="D79">
        <f>VLOOKUP(B79,Observacoes!$A:$D,3,FALSE)</f>
        <v/>
      </c>
      <c r="E79">
        <f>VLOOKUP(B79,Observacoes!$A:$D,4,FALSE)</f>
        <v/>
      </c>
      <c r="F79" t="inlineStr">
        <is>
          <t>Permanecer na cama/ UTI
 Perigo de danificar cateter</t>
        </is>
      </c>
      <c r="G79" t="inlineStr">
        <is>
          <t>criancas</t>
        </is>
      </c>
      <c r="H79" t="inlineStr">
        <is>
          <t>aumentar mobilidade em x%
 permitir homecare em x%</t>
        </is>
      </c>
      <c r="I79" t="inlineStr">
        <is>
          <t>Uma forma de melhorar a mobilidade em pacientes pediatricos com o objetivo de de reduzir eventos adversos em x%</t>
        </is>
      </c>
      <c r="J79" t="inlineStr">
        <is>
          <t>Mobilidade</t>
        </is>
      </c>
      <c r="K79" t="inlineStr">
        <is>
          <t>Vitor</t>
        </is>
      </c>
    </row>
    <row r="80">
      <c r="A80" t="inlineStr">
        <is>
          <t>NEED-079</t>
        </is>
      </c>
      <c r="B80" t="inlineStr">
        <is>
          <t>OBS-053</t>
        </is>
      </c>
      <c r="C80">
        <f>VLOOKUP(B80,Observacoes!$A:$D,2,FALSE)</f>
        <v/>
      </c>
      <c r="D80">
        <f>VLOOKUP(B80,Observacoes!$A:$D,3,FALSE)</f>
        <v/>
      </c>
      <c r="E80">
        <f>VLOOKUP(B80,Observacoes!$A:$D,4,FALSE)</f>
        <v/>
      </c>
      <c r="F80" t="inlineStr">
        <is>
          <t>Desmotivacao para realizar rabilitacao
 Ambiente frio e monotono
 Longa permanencia na UTI</t>
        </is>
      </c>
      <c r="G80" t="inlineStr">
        <is>
          <t>criancas</t>
        </is>
      </c>
      <c r="H80" t="inlineStr">
        <is>
          <t>aumentar participacao ativa em x%</t>
        </is>
      </c>
      <c r="I80" t="inlineStr">
        <is>
          <t>Uma forma de melhorar a reabilitacao em pacientes pediatricos com o objetivo de aumentar a efetividade em x% (participacaoXresultado)</t>
        </is>
      </c>
      <c r="J80" t="inlineStr">
        <is>
          <t>Mobilidade</t>
        </is>
      </c>
      <c r="K80" t="inlineStr">
        <is>
          <t>Vitor</t>
        </is>
      </c>
    </row>
    <row r="81">
      <c r="A81" t="inlineStr">
        <is>
          <t>NEED-080</t>
        </is>
      </c>
      <c r="B81" t="inlineStr">
        <is>
          <t>OBS-049</t>
        </is>
      </c>
      <c r="C81">
        <f>VLOOKUP(B81,Observacoes!$A:$D,2,FALSE)</f>
        <v/>
      </c>
      <c r="D81">
        <f>VLOOKUP(B81,Observacoes!$A:$D,3,FALSE)</f>
        <v/>
      </c>
      <c r="E81">
        <f>VLOOKUP(B81,Observacoes!$A:$D,4,FALSE)</f>
        <v/>
      </c>
      <c r="F81" t="inlineStr">
        <is>
          <t>Acordar a crainca para recolocacao em outro dedo
 Soltura do oximetro</t>
        </is>
      </c>
      <c r="G81" t="inlineStr">
        <is>
          <t>criancas</t>
        </is>
      </c>
      <c r="H81" t="inlineStr">
        <is>
          <t>reduzir a manutencao em x%
 revezamento de dedos e recolocacao por soltura</t>
        </is>
      </c>
      <c r="I81" t="inlineStr">
        <is>
          <t>Uma forma de melhorar adaptabilidade do oximetro em pacientes pediatricos com o objetivo de diminuir a manutencao em x%</t>
        </is>
      </c>
      <c r="J81" t="inlineStr">
        <is>
          <t>Monitoramento</t>
        </is>
      </c>
      <c r="K81" t="inlineStr">
        <is>
          <t>Vitor</t>
        </is>
      </c>
    </row>
    <row r="82">
      <c r="A82" t="inlineStr">
        <is>
          <t>NEED-081</t>
        </is>
      </c>
      <c r="B82" t="inlineStr">
        <is>
          <t>OBS-040</t>
        </is>
      </c>
      <c r="C82">
        <f>VLOOKUP(B82,Observacoes!$A:$D,2,FALSE)</f>
        <v/>
      </c>
      <c r="D82">
        <f>VLOOKUP(B82,Observacoes!$A:$D,3,FALSE)</f>
        <v/>
      </c>
      <c r="E82">
        <f>VLOOKUP(B82,Observacoes!$A:$D,4,FALSE)</f>
        <v/>
      </c>
      <c r="F82" t="inlineStr">
        <is>
          <t>Modelos de duas viais ao inves de tres
 Coagulacao e entupimento</t>
        </is>
      </c>
      <c r="G82" t="inlineStr">
        <is>
          <t>criancas</t>
        </is>
      </c>
      <c r="H82" t="inlineStr">
        <is>
          <t>diminuir riscos de entupimento em x%</t>
        </is>
      </c>
      <c r="I82" t="inlineStr">
        <is>
          <t>Uma forma de melhorar adaptabilidade da sonda Foley em pacientes pediatricos com o objetivo de reduzir cistostomias em x%</t>
        </is>
      </c>
      <c r="J82" t="inlineStr">
        <is>
          <t>Cateter</t>
        </is>
      </c>
      <c r="K82" t="inlineStr">
        <is>
          <t>Vitor</t>
        </is>
      </c>
    </row>
    <row r="83">
      <c r="A83" t="inlineStr">
        <is>
          <t>NEED-082</t>
        </is>
      </c>
      <c r="B83" t="inlineStr">
        <is>
          <t>OBS-048</t>
        </is>
      </c>
      <c r="C83">
        <f>VLOOKUP(B83,Observacoes!$A:$D,2,FALSE)</f>
        <v/>
      </c>
      <c r="D83">
        <f>VLOOKUP(B83,Observacoes!$A:$D,3,FALSE)</f>
        <v/>
      </c>
      <c r="E83">
        <f>VLOOKUP(B83,Observacoes!$A:$D,4,FALSE)</f>
        <v/>
      </c>
      <c r="F83" t="inlineStr">
        <is>
          <t>Recolocacao da sonda
 Entupimento/ Falta de alimentacao adequada
 Perigo de causar irritacao e sangramento</t>
        </is>
      </c>
      <c r="G83" t="inlineStr">
        <is>
          <t>criancas</t>
        </is>
      </c>
      <c r="H83" t="inlineStr">
        <is>
          <t>diminuir as desconexoes acidentais em x%</t>
        </is>
      </c>
      <c r="I83" t="inlineStr">
        <is>
          <t>Uma forma de melhorar de fixacao da sonda nasal em pacientes pediatricos com o objetivo de manter a operabilidade da sonda em 100%</t>
        </is>
      </c>
      <c r="K83" t="inlineStr">
        <is>
          <t>Vitor</t>
        </is>
      </c>
    </row>
    <row r="84">
      <c r="A84" t="inlineStr">
        <is>
          <t>NEED-083</t>
        </is>
      </c>
      <c r="B84" t="inlineStr">
        <is>
          <t>OBS-032</t>
        </is>
      </c>
      <c r="C84">
        <f>VLOOKUP(B84,Observacoes!$A:$D,2,FALSE)</f>
        <v/>
      </c>
      <c r="D84">
        <f>VLOOKUP(B84,Observacoes!$A:$D,3,FALSE)</f>
        <v/>
      </c>
      <c r="E84">
        <f>VLOOKUP(B84,Observacoes!$A:$D,4,FALSE)</f>
        <v/>
      </c>
      <c r="I84" t="inlineStr">
        <is>
          <t>Uma forma de expor a classificacao de gravidade de criancas hospitalizadas com o objetivo de priorizar o atendimento dos casos mais graves em x%.</t>
        </is>
      </c>
      <c r="J84" t="inlineStr">
        <is>
          <t>Comunicacao</t>
        </is>
      </c>
      <c r="K84" t="inlineStr">
        <is>
          <t>Ana</t>
        </is>
      </c>
    </row>
    <row r="85">
      <c r="A85" t="inlineStr">
        <is>
          <t>NEED-084</t>
        </is>
      </c>
      <c r="C85" t="n">
        <v>0</v>
      </c>
      <c r="D85" t="inlineStr">
        <is>
          <t>Type</t>
        </is>
      </c>
      <c r="E85" t="inlineStr">
        <is>
          <t>Observations</t>
        </is>
      </c>
      <c r="F85" t="inlineStr">
        <is>
          <t>Problem</t>
        </is>
      </c>
      <c r="G85" t="inlineStr">
        <is>
          <t>Population</t>
        </is>
      </c>
      <c r="H85" t="inlineStr">
        <is>
          <t>Intend outcome</t>
        </is>
      </c>
      <c r="I85" t="inlineStr">
        <is>
          <t>Previous Need Statements</t>
        </is>
      </c>
      <c r="J85" t="inlineStr">
        <is>
          <t>Type</t>
        </is>
      </c>
      <c r="K85" t="inlineStr">
        <is>
          <t>Nome</t>
        </is>
      </c>
    </row>
    <row r="86">
      <c r="A86" t="inlineStr">
        <is>
          <t>NEED-085</t>
        </is>
      </c>
      <c r="B86" t="inlineStr">
        <is>
          <t>OBS-039</t>
        </is>
      </c>
      <c r="C86">
        <f>VLOOKUP(B86,Observacoes!$A:$D,2,FALSE)</f>
        <v/>
      </c>
      <c r="D86">
        <f>VLOOKUP(B86,Observacoes!$A:$D,3,FALSE)</f>
        <v/>
      </c>
      <c r="E86">
        <f>VLOOKUP(B86,Observacoes!$A:$D,4,FALSE)</f>
        <v/>
      </c>
      <c r="F86" t="inlineStr">
        <is>
          <t>Excesso de tempo gasto com informacoes repetidas</t>
        </is>
      </c>
      <c r="G86" t="inlineStr">
        <is>
          <t>Criancas internadas na UTI</t>
        </is>
      </c>
      <c r="H86" t="inlineStr">
        <is>
          <t>Reduzir o tempo de solicitacao de medicacao e realizacao da mesma</t>
        </is>
      </c>
      <c r="I86" t="inlineStr">
        <is>
          <t>Uma forma de facilitar a comunicacao entre profissionais nas UTIs pediatricas com o objetivo de reduzir o tempo solicitacao-realizacao de medicacao em x%</t>
        </is>
      </c>
      <c r="J86" t="inlineStr">
        <is>
          <t>Comunicacao</t>
        </is>
      </c>
      <c r="K86" t="inlineStr">
        <is>
          <t>Ana</t>
        </is>
      </c>
    </row>
    <row r="87">
      <c r="A87" t="inlineStr">
        <is>
          <t>NEED-086</t>
        </is>
      </c>
      <c r="B87" t="inlineStr">
        <is>
          <t>OBS-039</t>
        </is>
      </c>
      <c r="C87">
        <f>VLOOKUP(B87,Observacoes!$A:$D,2,FALSE)</f>
        <v/>
      </c>
      <c r="D87">
        <f>VLOOKUP(B87,Observacoes!$A:$D,3,FALSE)</f>
        <v/>
      </c>
      <c r="E87">
        <f>VLOOKUP(B87,Observacoes!$A:$D,4,FALSE)</f>
        <v/>
      </c>
      <c r="F87" t="inlineStr">
        <is>
          <t>Excesso de tempo gasto com informacoes repetidas</t>
        </is>
      </c>
      <c r="G87" t="inlineStr">
        <is>
          <t>Criancas internadas na UTI</t>
        </is>
      </c>
      <c r="H87" t="inlineStr">
        <is>
          <t>Reeduzir o tempo de solitacao de alta-efetivacao da alta</t>
        </is>
      </c>
      <c r="I87" t="inlineStr">
        <is>
          <t>Uma forma de facilitar a comunicacao entre profissionais nas UTIs pediatricas com o objetivo de reduzir o tempo solicitacao de alta- efetivacao da alta em x%</t>
        </is>
      </c>
      <c r="J87" t="inlineStr">
        <is>
          <t>Comunicacao</t>
        </is>
      </c>
      <c r="K87" t="inlineStr">
        <is>
          <t>Ana</t>
        </is>
      </c>
    </row>
    <row r="88">
      <c r="A88" t="inlineStr">
        <is>
          <t>NEED-087</t>
        </is>
      </c>
      <c r="B88" t="inlineStr">
        <is>
          <t>OBS-037</t>
        </is>
      </c>
      <c r="C88">
        <f>VLOOKUP(B88,Observacoes!$A:$D,2,FALSE)</f>
        <v/>
      </c>
      <c r="D88">
        <f>VLOOKUP(B88,Observacoes!$A:$D,3,FALSE)</f>
        <v/>
      </c>
      <c r="E88">
        <f>VLOOKUP(B88,Observacoes!$A:$D,4,FALSE)</f>
        <v/>
      </c>
      <c r="F88" t="inlineStr">
        <is>
          <t>Dificuldade na adaptacao da mascara de CNAF</t>
        </is>
      </c>
      <c r="G88" t="inlineStr">
        <is>
          <t>Criancas hospitalizadas</t>
        </is>
      </c>
      <c r="H88" t="inlineStr">
        <is>
          <t>Reduzir taxa de IOT</t>
        </is>
      </c>
      <c r="I88" t="inlineStr">
        <is>
          <t>Uma forma de melhor adpatar o CNAF em criancas hospitalizadas com o objetivo de reduzir a taxa de intubacao em x%</t>
        </is>
      </c>
      <c r="J88" t="inlineStr">
        <is>
          <t>Equipamentos/monitorizacao</t>
        </is>
      </c>
      <c r="K88" t="inlineStr">
        <is>
          <t>Ana</t>
        </is>
      </c>
    </row>
    <row r="89">
      <c r="A89" t="inlineStr">
        <is>
          <t>NEED-088</t>
        </is>
      </c>
      <c r="B89" t="inlineStr">
        <is>
          <t>OBS-037</t>
        </is>
      </c>
      <c r="C89">
        <f>VLOOKUP(B89,Observacoes!$A:$D,2,FALSE)</f>
        <v/>
      </c>
      <c r="D89">
        <f>VLOOKUP(B89,Observacoes!$A:$D,3,FALSE)</f>
        <v/>
      </c>
      <c r="E89">
        <f>VLOOKUP(B89,Observacoes!$A:$D,4,FALSE)</f>
        <v/>
      </c>
      <c r="F89" t="inlineStr">
        <is>
          <t>Dificuldade na adaptacao da mascara de CNAF</t>
        </is>
      </c>
      <c r="G89" t="inlineStr">
        <is>
          <t>Criancas hospitalizadas</t>
        </is>
      </c>
      <c r="H89" t="inlineStr">
        <is>
          <t>Melhorar escala de conforto</t>
        </is>
      </c>
      <c r="I89" t="inlineStr">
        <is>
          <t>Uma forma de melhor adpatar o CNAF em criancas hospitalizadas com o objetivo de melhorar o conforto do paciente em x%</t>
        </is>
      </c>
      <c r="J89" t="inlineStr">
        <is>
          <t>Equipamentos/monitorizacao</t>
        </is>
      </c>
      <c r="K89" t="inlineStr">
        <is>
          <t>Ana</t>
        </is>
      </c>
    </row>
    <row r="90">
      <c r="A90" t="inlineStr">
        <is>
          <t>NEED-089</t>
        </is>
      </c>
      <c r="B90" t="inlineStr">
        <is>
          <t>OBS-038</t>
        </is>
      </c>
      <c r="C90">
        <f>VLOOKUP(B90,Observacoes!$A:$D,2,FALSE)</f>
        <v/>
      </c>
      <c r="D90">
        <f>VLOOKUP(B90,Observacoes!$A:$D,3,FALSE)</f>
        <v/>
      </c>
      <c r="E90">
        <f>VLOOKUP(B90,Observacoes!$A:$D,4,FALSE)</f>
        <v/>
      </c>
      <c r="F90" t="inlineStr">
        <is>
          <t>Os equipamentos projetados para adultos podem nao ser adequados ou seguros para uso pediatrico.Causando afericoes imprecisas e possiveis doses inadequadas.</t>
        </is>
      </c>
      <c r="G90" t="inlineStr">
        <is>
          <t>Criancas internadas na UTI</t>
        </is>
      </c>
      <c r="H90" t="inlineStr">
        <is>
          <t>Produzir equipamentos que sejam intercambiaveis e adaptaveis para criancas</t>
        </is>
      </c>
      <c r="I90" t="inlineStr">
        <is>
          <t>Uma forma de</t>
        </is>
      </c>
      <c r="J90" t="inlineStr">
        <is>
          <t>Infraestrutura</t>
        </is>
      </c>
      <c r="K90" t="inlineStr">
        <is>
          <t>Mariana</t>
        </is>
      </c>
    </row>
    <row r="91">
      <c r="A91" t="inlineStr">
        <is>
          <t>NEED-090</t>
        </is>
      </c>
      <c r="B91" t="inlineStr">
        <is>
          <t>OBS-038</t>
        </is>
      </c>
      <c r="C91">
        <f>VLOOKUP(B91,Observacoes!$A:$D,2,FALSE)</f>
        <v/>
      </c>
      <c r="D91">
        <f>VLOOKUP(B91,Observacoes!$A:$D,3,FALSE)</f>
        <v/>
      </c>
      <c r="E91">
        <f>VLOOKUP(B91,Observacoes!$A:$D,4,FALSE)</f>
        <v/>
      </c>
      <c r="F91" t="inlineStr">
        <is>
          <t>Leitos maiores favorecem quedas.</t>
        </is>
      </c>
      <c r="G91" t="inlineStr">
        <is>
          <t>Criancas internadas na UTI</t>
        </is>
      </c>
      <c r="H91" t="inlineStr">
        <is>
          <t>Reduzir a incidencia de quedas em criancas que estao em leitos de uti projetados para adultos.</t>
        </is>
      </c>
      <c r="I91" t="inlineStr">
        <is>
          <t>Uma forma de</t>
        </is>
      </c>
      <c r="J91" t="inlineStr">
        <is>
          <t>Infraestrutura</t>
        </is>
      </c>
      <c r="K91" t="inlineStr">
        <is>
          <t>Mariana</t>
        </is>
      </c>
    </row>
    <row r="92">
      <c r="A92" t="inlineStr">
        <is>
          <t>NEED-091</t>
        </is>
      </c>
      <c r="B92" t="inlineStr">
        <is>
          <t>OBS-038</t>
        </is>
      </c>
      <c r="C92">
        <f>VLOOKUP(B92,Observacoes!$A:$D,2,FALSE)</f>
        <v/>
      </c>
      <c r="D92">
        <f>VLOOKUP(B92,Observacoes!$A:$D,3,FALSE)</f>
        <v/>
      </c>
      <c r="E92">
        <f>VLOOKUP(B92,Observacoes!$A:$D,4,FALSE)</f>
        <v/>
      </c>
      <c r="F92" t="inlineStr">
        <is>
          <t>Exposicao a diferentes Patogenos aumentando o risco de infeccoes nosocomiais.</t>
        </is>
      </c>
      <c r="G92" t="inlineStr">
        <is>
          <t>Criancas internadas na UTI</t>
        </is>
      </c>
      <c r="H92" t="inlineStr">
        <is>
          <t>Reduzir a incidencia de infeccoes nosocomiais em pacientes pediatricos  internados em leitos adultos.</t>
        </is>
      </c>
      <c r="I92" t="inlineStr">
        <is>
          <t>Uma forma de</t>
        </is>
      </c>
      <c r="J92" t="inlineStr">
        <is>
          <t>Infraestrutura</t>
        </is>
      </c>
      <c r="K92" t="inlineStr">
        <is>
          <t>Mariana</t>
        </is>
      </c>
    </row>
    <row r="93">
      <c r="A93" t="inlineStr">
        <is>
          <t>NEED-092</t>
        </is>
      </c>
      <c r="C93" t="n">
        <v>0</v>
      </c>
      <c r="D93" t="inlineStr">
        <is>
          <t>Type</t>
        </is>
      </c>
      <c r="E93" t="inlineStr">
        <is>
          <t>Observations</t>
        </is>
      </c>
      <c r="F93" t="inlineStr">
        <is>
          <t>Problem</t>
        </is>
      </c>
      <c r="G93" t="inlineStr">
        <is>
          <t>Population</t>
        </is>
      </c>
      <c r="H93" t="inlineStr">
        <is>
          <t>Intend outcome</t>
        </is>
      </c>
      <c r="I93" t="inlineStr">
        <is>
          <t>Previous Need Statements</t>
        </is>
      </c>
      <c r="J93" t="inlineStr">
        <is>
          <t>Type</t>
        </is>
      </c>
      <c r="K93" t="inlineStr">
        <is>
          <t>Nome</t>
        </is>
      </c>
    </row>
    <row r="94">
      <c r="A94" t="inlineStr">
        <is>
          <t>NEED-093</t>
        </is>
      </c>
      <c r="B94" t="inlineStr">
        <is>
          <t>OBS-032</t>
        </is>
      </c>
      <c r="C94">
        <f>VLOOKUP(B94,Observacoes!$A:$D,2,FALSE)</f>
        <v/>
      </c>
      <c r="D94">
        <f>VLOOKUP(B94,Observacoes!$A:$D,3,FALSE)</f>
        <v/>
      </c>
      <c r="E94">
        <f>VLOOKUP(B94,Observacoes!$A:$D,4,FALSE)</f>
        <v/>
      </c>
      <c r="I94" t="inlineStr">
        <is>
          <t>Uma forma de expor a classificacao de gravidade de criancas hospitalizadas com o objetivo de priorizar o atendimento dos casos mais graves em x%.</t>
        </is>
      </c>
      <c r="J94" t="inlineStr">
        <is>
          <t>Comunicacao</t>
        </is>
      </c>
      <c r="K94" t="inlineStr">
        <is>
          <t>Ana</t>
        </is>
      </c>
    </row>
    <row r="95">
      <c r="A95" t="inlineStr">
        <is>
          <t>NEED-094</t>
        </is>
      </c>
      <c r="B95" t="inlineStr">
        <is>
          <t>OBS-032</t>
        </is>
      </c>
      <c r="C95">
        <f>VLOOKUP(B95,Observacoes!$A:$D,2,FALSE)</f>
        <v/>
      </c>
      <c r="D95">
        <f>VLOOKUP(B95,Observacoes!$A:$D,3,FALSE)</f>
        <v/>
      </c>
      <c r="E95">
        <f>VLOOKUP(B95,Observacoes!$A:$D,4,FALSE)</f>
        <v/>
      </c>
      <c r="I95" t="inlineStr">
        <is>
          <t>Uma forma de classificar a gravidade de criancas no pronto atendimento com o objetivo de prever o declinio clinico em x%</t>
        </is>
      </c>
      <c r="J95" t="inlineStr">
        <is>
          <t>Comunicacao</t>
        </is>
      </c>
      <c r="K95" t="inlineStr">
        <is>
          <t>Ana</t>
        </is>
      </c>
    </row>
    <row r="96">
      <c r="A96" t="inlineStr">
        <is>
          <t>NEED-095</t>
        </is>
      </c>
      <c r="B96" t="inlineStr">
        <is>
          <t>OBS-033</t>
        </is>
      </c>
      <c r="C96">
        <f>VLOOKUP(B96,Observacoes!$A:$D,2,FALSE)</f>
        <v/>
      </c>
      <c r="D96">
        <f>VLOOKUP(B96,Observacoes!$A:$D,3,FALSE)</f>
        <v/>
      </c>
      <c r="E96">
        <f>VLOOKUP(B96,Observacoes!$A:$D,4,FALSE)</f>
        <v/>
      </c>
      <c r="F96" t="inlineStr">
        <is>
          <t>Maior estresse para familiares e paciente.</t>
        </is>
      </c>
      <c r="G96" t="inlineStr">
        <is>
          <t>Criancas hospitalizadas e familiares.</t>
        </is>
      </c>
      <c r="J96" t="inlineStr">
        <is>
          <t>Comunicacao</t>
        </is>
      </c>
      <c r="K96" t="inlineStr">
        <is>
          <t>Mariana</t>
        </is>
      </c>
    </row>
    <row r="97">
      <c r="A97" t="inlineStr">
        <is>
          <t>NEED-096</t>
        </is>
      </c>
      <c r="B97" t="inlineStr">
        <is>
          <t>OBS-031</t>
        </is>
      </c>
      <c r="C97">
        <f>VLOOKUP(B97,Observacoes!$A:$D,2,FALSE)</f>
        <v/>
      </c>
      <c r="D97">
        <f>VLOOKUP(B97,Observacoes!$A:$D,3,FALSE)</f>
        <v/>
      </c>
      <c r="E97">
        <f>VLOOKUP(B97,Observacoes!$A:$D,4,FALSE)</f>
        <v/>
      </c>
      <c r="F97" t="inlineStr">
        <is>
          <t>Demora nas respostas
 Necessidade de confimacao verbal
 Esquecimento do aviso</t>
        </is>
      </c>
      <c r="G97" t="inlineStr">
        <is>
          <t>Equipe da UTI</t>
        </is>
      </c>
      <c r="H97" t="inlineStr">
        <is>
          <t>reducao no atraso de altas e admissoes em x%</t>
        </is>
      </c>
      <c r="I97" t="inlineStr">
        <is>
          <t>Uma forma de alertas individualizados em profissionais da UTI com o objetivo de reducao no atraso do fluxo de leitos em x%</t>
        </is>
      </c>
      <c r="J97" t="inlineStr">
        <is>
          <t>Comunicacao</t>
        </is>
      </c>
      <c r="K97" t="inlineStr">
        <is>
          <t>Vitor</t>
        </is>
      </c>
    </row>
    <row r="98">
      <c r="A98" t="inlineStr">
        <is>
          <t>NEED-097</t>
        </is>
      </c>
      <c r="C98" t="n">
        <v>1</v>
      </c>
      <c r="D98" t="inlineStr">
        <is>
          <t>Equipamentos/monitorizacao</t>
        </is>
      </c>
      <c r="E98" t="inlineStr">
        <is>
          <t>Perda de cabos</t>
        </is>
      </c>
      <c r="F98" t="inlineStr">
        <is>
          <t>Perda de cateter</t>
        </is>
      </c>
      <c r="G98" t="inlineStr">
        <is>
          <t>Criancas hospitalizadas</t>
        </is>
      </c>
      <c r="H98" t="inlineStr">
        <is>
          <t>Reducir a perda de cateter</t>
        </is>
      </c>
      <c r="I98" t="inlineStr">
        <is>
          <t>Uma forma de reduzir a perda de cateter em pacientes pediatricos hospitalizados para diminuir o numero de puncoes em X%.</t>
        </is>
      </c>
      <c r="J98" t="inlineStr">
        <is>
          <t>Equipamentos/monitorizacao</t>
        </is>
      </c>
      <c r="K98" t="inlineStr">
        <is>
          <t>Marta</t>
        </is>
      </c>
    </row>
    <row r="99">
      <c r="A99" t="inlineStr">
        <is>
          <t>NEED-098</t>
        </is>
      </c>
      <c r="C99" t="n">
        <v>1</v>
      </c>
      <c r="D99" t="inlineStr">
        <is>
          <t>Equipamentos/monitorizacao</t>
        </is>
      </c>
      <c r="E99" t="inlineStr">
        <is>
          <t>Perda de cabos</t>
        </is>
      </c>
      <c r="F99" t="inlineStr">
        <is>
          <t>Perda de cateter</t>
        </is>
      </c>
      <c r="G99" t="inlineStr">
        <is>
          <t>Criancas hospitalizadas</t>
        </is>
      </c>
      <c r="H99" t="inlineStr">
        <is>
          <t>Reducir a perda infeccoes associadas a cateter</t>
        </is>
      </c>
      <c r="I99" t="inlineStr">
        <is>
          <t>Uma forma de reduzir as perdas de cateter em pacientes pediatricos hospitalizados para reduzir infeccoes associadas ao cateter em X%</t>
        </is>
      </c>
      <c r="J99" t="inlineStr">
        <is>
          <t>Equipamentos/monitorizacao</t>
        </is>
      </c>
      <c r="K99" t="inlineStr">
        <is>
          <t>Marta</t>
        </is>
      </c>
    </row>
    <row r="100">
      <c r="A100" t="inlineStr">
        <is>
          <t>NEED-099</t>
        </is>
      </c>
      <c r="C100" t="n">
        <v>1</v>
      </c>
      <c r="D100" t="inlineStr">
        <is>
          <t>Equipamentos/monitorizacao</t>
        </is>
      </c>
      <c r="E100" t="inlineStr">
        <is>
          <t>Equipamentos e falta de rastreabilidade dos mesmos</t>
        </is>
      </c>
      <c r="F100" t="inlineStr">
        <is>
          <t>Os cabos se enrolam e e dificil ter rastreabilidade de a qual dispositivo corresponde cada cabo</t>
        </is>
      </c>
      <c r="G100" t="inlineStr">
        <is>
          <t>Equipe da UTI</t>
        </is>
      </c>
      <c r="H100" t="inlineStr">
        <is>
          <t>Melhorar el atendimiento ao paciente</t>
        </is>
      </c>
      <c r="I100" t="inlineStr">
        <is>
          <t>Uma forma de aumentar a rastreabilidade dos cabos em pacientes pediatricos hospitalizados para melhorar a qualidade do atendimento ao paciente em X%</t>
        </is>
      </c>
      <c r="J100" t="inlineStr">
        <is>
          <t>Equipamentos/monitorizacao</t>
        </is>
      </c>
      <c r="K100" t="inlineStr">
        <is>
          <t>Marta</t>
        </is>
      </c>
    </row>
    <row r="101">
      <c r="A101" t="inlineStr">
        <is>
          <t>NEED-100</t>
        </is>
      </c>
      <c r="B101" t="inlineStr">
        <is>
          <t>OBS-035</t>
        </is>
      </c>
      <c r="C101">
        <f>VLOOKUP(B101,Observacoes!$A:$D,2,FALSE)</f>
        <v/>
      </c>
      <c r="D101">
        <f>VLOOKUP(B101,Observacoes!$A:$D,3,FALSE)</f>
        <v/>
      </c>
      <c r="E101">
        <f>VLOOKUP(B101,Observacoes!$A:$D,4,FALSE)</f>
        <v/>
      </c>
      <c r="I101" t="inlineStr">
        <is>
          <t>Uma forma de melhorar o laringoscopio usado em UTIs pediatricas para reduzir o tempo de IOT em x%</t>
        </is>
      </c>
      <c r="J101" t="inlineStr">
        <is>
          <t>Equipamentos/monitorizacao</t>
        </is>
      </c>
      <c r="K101" t="inlineStr">
        <is>
          <t>Ana</t>
        </is>
      </c>
    </row>
    <row r="102">
      <c r="A102" t="inlineStr">
        <is>
          <t>NEED-101</t>
        </is>
      </c>
      <c r="B102" t="inlineStr">
        <is>
          <t>OBS-034</t>
        </is>
      </c>
      <c r="C102">
        <f>VLOOKUP(B102,Observacoes!$A:$D,2,FALSE)</f>
        <v/>
      </c>
      <c r="D102">
        <f>VLOOKUP(B102,Observacoes!$A:$D,3,FALSE)</f>
        <v/>
      </c>
      <c r="E102">
        <f>VLOOKUP(B102,Observacoes!$A:$D,4,FALSE)</f>
        <v/>
      </c>
      <c r="F102" t="inlineStr">
        <is>
          <t>Limtacao no tamanho das luvas
 Limitacao na eficiencia
 Percas de acessos, sondas, cateteres......</t>
        </is>
      </c>
      <c r="G102" t="inlineStr">
        <is>
          <t>criancas &gt; 2 anos</t>
        </is>
      </c>
      <c r="H102" t="inlineStr">
        <is>
          <t>operabilidade da sonda em 100%</t>
        </is>
      </c>
      <c r="I102" t="inlineStr">
        <is>
          <t>Uma forma de melhorar a fixacao da luva em criancas acima de 2 anos com o objetivo de de manter a operabilidade da luva em 100%</t>
        </is>
      </c>
      <c r="J102" t="inlineStr">
        <is>
          <t>Equipamentos/monitorizacao</t>
        </is>
      </c>
      <c r="K102" t="inlineStr">
        <is>
          <t>Vitor</t>
        </is>
      </c>
    </row>
    <row r="103">
      <c r="A103" t="inlineStr">
        <is>
          <t>NEED-102</t>
        </is>
      </c>
      <c r="B103" t="inlineStr">
        <is>
          <t>OBS-036</t>
        </is>
      </c>
      <c r="C103">
        <f>VLOOKUP(B103,Observacoes!$A:$D,2,FALSE)</f>
        <v/>
      </c>
      <c r="D103">
        <f>VLOOKUP(B103,Observacoes!$A:$D,3,FALSE)</f>
        <v/>
      </c>
      <c r="E103">
        <f>VLOOKUP(B103,Observacoes!$A:$D,4,FALSE)</f>
        <v/>
      </c>
      <c r="F103" t="inlineStr">
        <is>
          <t>Usam controle manual favorecendo erros de medicacao.</t>
        </is>
      </c>
      <c r="G103" t="inlineStr">
        <is>
          <t>Criancas hospitalizadas</t>
        </is>
      </c>
      <c r="H103" t="inlineStr">
        <is>
          <t>Viabiliar um bulario que conste todas as medicacoes e doses pediatricas</t>
        </is>
      </c>
      <c r="I103" t="inlineStr">
        <is>
          <t>Uma forma de</t>
        </is>
      </c>
      <c r="J103" t="inlineStr">
        <is>
          <t>Medicamentos</t>
        </is>
      </c>
      <c r="K103" t="inlineStr">
        <is>
          <t>Mariana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2026-02-27T16:53:29Z</dcterms:created>
  <dcterms:modified xmlns:dcterms="http://purl.org/dc/terms/" xmlns:xsi="http://www.w3.org/2001/XMLSchema-instance" xsi:type="dcterms:W3CDTF">2026-02-27T16:59:15Z</dcterms:modified>
</cp:coreProperties>
</file>